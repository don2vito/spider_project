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/>
  <xr:revisionPtr revIDLastSave="0" documentId="13_ncr:1_{CE2B1535-BAA2-4500-8759-2EF5083D7FE9}" xr6:coauthVersionLast="36" xr6:coauthVersionMax="47" xr10:uidLastSave="{00000000-0000-0000-0000-000000000000}"/>
  <bookViews>
    <workbookView xWindow="0" yWindow="0" windowWidth="21390" windowHeight="11145" tabRatio="811" firstSheet="1" activeTab="10" xr2:uid="{00000000-000D-0000-FFFF-FFFF00000000}"/>
  </bookViews>
  <sheets>
    <sheet name="购物零售方案123" sheetId="6" state="hidden" r:id="rId1"/>
    <sheet name="0. 方案" sheetId="40" r:id="rId2"/>
    <sheet name="1. 按目标v0.2" sheetId="39" r:id="rId3"/>
    <sheet name="2. 按趋势预测Q1" sheetId="41" r:id="rId4"/>
    <sheet name="3. 移动端分月目标" sheetId="44" r:id="rId5"/>
    <sheet name="4. 实际达成与同比" sheetId="46" r:id="rId6"/>
    <sheet name="年初目标及同比" sheetId="48" r:id="rId7"/>
    <sheet name="【只看单月】滚动目标及同比 (5-12月)" sheetId="49" r:id="rId8"/>
    <sheet name="6-12月滚动目标计算过程" sheetId="50" r:id="rId9"/>
    <sheet name="PPT 用滚动表" sheetId="51" r:id="rId10"/>
    <sheet name="邮件" sheetId="52" r:id="rId11"/>
    <sheet name="25年月度raw" sheetId="26" state="hidden" r:id="rId12"/>
    <sheet name="历史数据23" sheetId="2" state="hidden" r:id="rId13"/>
    <sheet name="方案3预测" sheetId="4" state="hidden" r:id="rId14"/>
    <sheet name="Sheet1" sheetId="5" state="hidden" r:id="rId15"/>
    <sheet name="方案一by季度" sheetId="7" state="hidden" r:id="rId16"/>
    <sheet name="历年1-2月" sheetId="10" state="hidden" r:id="rId17"/>
    <sheet name="2023年参考" sheetId="3" state="hidden" r:id="rId18"/>
    <sheet name="订购预估" sheetId="11" state="hidden" r:id="rId19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4" i="48" l="1"/>
  <c r="AD15" i="48"/>
  <c r="H22" i="50"/>
  <c r="D3" i="51"/>
  <c r="AT35" i="50" l="1"/>
  <c r="AT36" i="50" l="1"/>
  <c r="AT37" i="50"/>
  <c r="AT38" i="50"/>
  <c r="AT39" i="50"/>
  <c r="H44" i="50" l="1"/>
  <c r="H45" i="50"/>
  <c r="H46" i="50"/>
  <c r="H47" i="50"/>
  <c r="H48" i="50"/>
  <c r="H49" i="50"/>
  <c r="V23" i="50"/>
  <c r="V25" i="50"/>
  <c r="V26" i="50"/>
  <c r="V27" i="50"/>
  <c r="V22" i="50"/>
  <c r="H13" i="50"/>
  <c r="V19" i="50"/>
  <c r="V18" i="50"/>
  <c r="V17" i="50"/>
  <c r="V16" i="50"/>
  <c r="V15" i="50"/>
  <c r="V14" i="50"/>
  <c r="V13" i="50"/>
  <c r="E3" i="51" l="1"/>
  <c r="F3" i="51" s="1"/>
  <c r="K4" i="44" l="1"/>
  <c r="H6" i="44"/>
  <c r="E5" i="44"/>
  <c r="E6" i="44"/>
  <c r="F6" i="44" s="1"/>
  <c r="D6" i="44"/>
  <c r="E43" i="50" l="1"/>
  <c r="D10" i="51" l="1"/>
  <c r="G10" i="51"/>
  <c r="D34" i="50"/>
  <c r="I14" i="50"/>
  <c r="M18" i="50"/>
  <c r="L19" i="50"/>
  <c r="H15" i="50"/>
  <c r="H24" i="50" s="1"/>
  <c r="I15" i="50"/>
  <c r="I24" i="50" s="1"/>
  <c r="J15" i="50"/>
  <c r="J24" i="50" s="1"/>
  <c r="K15" i="50"/>
  <c r="K24" i="50" s="1"/>
  <c r="L15" i="50"/>
  <c r="L24" i="50" s="1"/>
  <c r="M15" i="50"/>
  <c r="M24" i="50" s="1"/>
  <c r="N15" i="50"/>
  <c r="N24" i="50" s="1"/>
  <c r="H16" i="50"/>
  <c r="H25" i="50" s="1"/>
  <c r="I16" i="50"/>
  <c r="I25" i="50" s="1"/>
  <c r="J16" i="50"/>
  <c r="J25" i="50" s="1"/>
  <c r="K16" i="50"/>
  <c r="K25" i="50" s="1"/>
  <c r="L16" i="50"/>
  <c r="L25" i="50" s="1"/>
  <c r="M16" i="50"/>
  <c r="M25" i="50" s="1"/>
  <c r="N16" i="50"/>
  <c r="N25" i="50" s="1"/>
  <c r="H17" i="50"/>
  <c r="I17" i="50"/>
  <c r="J17" i="50"/>
  <c r="K17" i="50"/>
  <c r="L17" i="50"/>
  <c r="M17" i="50"/>
  <c r="N17" i="50"/>
  <c r="H18" i="50"/>
  <c r="I18" i="50"/>
  <c r="K18" i="50"/>
  <c r="L18" i="50"/>
  <c r="H19" i="50"/>
  <c r="J19" i="50"/>
  <c r="K19" i="50"/>
  <c r="I19" i="50" l="1"/>
  <c r="J18" i="50"/>
  <c r="N14" i="50"/>
  <c r="H14" i="50"/>
  <c r="M14" i="50"/>
  <c r="N19" i="50"/>
  <c r="F49" i="50"/>
  <c r="K14" i="50"/>
  <c r="L14" i="50"/>
  <c r="M19" i="50"/>
  <c r="N18" i="50"/>
  <c r="J14" i="50"/>
  <c r="Y63" i="39"/>
  <c r="G8" i="51" l="1"/>
  <c r="G7" i="51"/>
  <c r="G6" i="51"/>
  <c r="G5" i="51"/>
  <c r="G4" i="51"/>
  <c r="G3" i="51"/>
  <c r="D8" i="51"/>
  <c r="D7" i="51"/>
  <c r="D6" i="51"/>
  <c r="D5" i="51"/>
  <c r="D4" i="51"/>
  <c r="E10" i="51" l="1"/>
  <c r="F10" i="51" s="1"/>
  <c r="E8" i="51"/>
  <c r="F8" i="51" s="1"/>
  <c r="E7" i="51"/>
  <c r="F7" i="51" s="1"/>
  <c r="E6" i="51"/>
  <c r="F6" i="51" s="1"/>
  <c r="E5" i="51"/>
  <c r="F5" i="51" s="1"/>
  <c r="E4" i="51"/>
  <c r="F4" i="51" s="1"/>
  <c r="C40" i="50"/>
  <c r="D40" i="50"/>
  <c r="J28" i="50"/>
  <c r="J40" i="50" s="1"/>
  <c r="L28" i="50" l="1"/>
  <c r="L40" i="50" s="1"/>
  <c r="N28" i="50"/>
  <c r="N40" i="50" s="1"/>
  <c r="K28" i="50"/>
  <c r="K40" i="50" s="1"/>
  <c r="M28" i="50"/>
  <c r="M40" i="50" s="1"/>
  <c r="H28" i="50"/>
  <c r="H40" i="50" s="1"/>
  <c r="I28" i="50"/>
  <c r="I40" i="50" s="1"/>
  <c r="U10" i="50"/>
  <c r="T10" i="50"/>
  <c r="S10" i="50"/>
  <c r="R10" i="50"/>
  <c r="Q10" i="50"/>
  <c r="P10" i="50"/>
  <c r="O10" i="50"/>
  <c r="C49" i="44"/>
  <c r="B49" i="44"/>
  <c r="C32" i="44"/>
  <c r="B32" i="44"/>
  <c r="C15" i="44"/>
  <c r="B15" i="44"/>
  <c r="R40" i="50" l="1"/>
  <c r="E49" i="50"/>
  <c r="T40" i="50"/>
  <c r="P40" i="50"/>
  <c r="U40" i="50"/>
  <c r="Q40" i="50"/>
  <c r="O40" i="50"/>
  <c r="V40" i="50" s="1"/>
  <c r="S40" i="50"/>
  <c r="AR7" i="50"/>
  <c r="AQ7" i="50"/>
  <c r="AP7" i="50"/>
  <c r="AO7" i="50"/>
  <c r="AN7" i="50"/>
  <c r="AM7" i="50"/>
  <c r="AL7" i="50"/>
  <c r="AK7" i="50"/>
  <c r="AJ7" i="50"/>
  <c r="AI7" i="50"/>
  <c r="AH7" i="50"/>
  <c r="AG7" i="50"/>
  <c r="AF7" i="50"/>
  <c r="AE7" i="50"/>
  <c r="AD7" i="50"/>
  <c r="AC7" i="50"/>
  <c r="AB7" i="50"/>
  <c r="AA7" i="50"/>
  <c r="Z7" i="50"/>
  <c r="AR6" i="50"/>
  <c r="AQ6" i="50"/>
  <c r="AP6" i="50"/>
  <c r="AO6" i="50"/>
  <c r="AN6" i="50"/>
  <c r="AM6" i="50"/>
  <c r="AL6" i="50"/>
  <c r="AK6" i="50"/>
  <c r="AJ6" i="50"/>
  <c r="AI6" i="50"/>
  <c r="AH6" i="50"/>
  <c r="AG6" i="50"/>
  <c r="AF6" i="50"/>
  <c r="AE6" i="50"/>
  <c r="AD6" i="50"/>
  <c r="AC6" i="50"/>
  <c r="AB6" i="50"/>
  <c r="AA6" i="50"/>
  <c r="Z6" i="50"/>
  <c r="AR5" i="50"/>
  <c r="AQ5" i="50"/>
  <c r="AP5" i="50"/>
  <c r="AO5" i="50"/>
  <c r="AN5" i="50"/>
  <c r="AM5" i="50"/>
  <c r="AL5" i="50"/>
  <c r="AK5" i="50"/>
  <c r="AJ5" i="50"/>
  <c r="AI5" i="50"/>
  <c r="AH5" i="50"/>
  <c r="AG5" i="50"/>
  <c r="AF5" i="50"/>
  <c r="AE5" i="50"/>
  <c r="AD5" i="50"/>
  <c r="AC5" i="50"/>
  <c r="AB5" i="50"/>
  <c r="AA5" i="50"/>
  <c r="Z5" i="50"/>
  <c r="AR4" i="50"/>
  <c r="AQ4" i="50"/>
  <c r="AP4" i="50"/>
  <c r="AO4" i="50"/>
  <c r="AN4" i="50"/>
  <c r="AM4" i="50"/>
  <c r="AL4" i="50"/>
  <c r="AK4" i="50"/>
  <c r="AJ4" i="50"/>
  <c r="AI4" i="50"/>
  <c r="AH4" i="50"/>
  <c r="AG4" i="50"/>
  <c r="AF4" i="50"/>
  <c r="AE4" i="50"/>
  <c r="AD4" i="50"/>
  <c r="AC4" i="50"/>
  <c r="AB4" i="50"/>
  <c r="AA4" i="50"/>
  <c r="Z4" i="50"/>
  <c r="D39" i="50"/>
  <c r="C39" i="50"/>
  <c r="D38" i="50"/>
  <c r="C38" i="50"/>
  <c r="N37" i="50"/>
  <c r="M37" i="50"/>
  <c r="L37" i="50"/>
  <c r="K37" i="50"/>
  <c r="AH37" i="50" s="1"/>
  <c r="J37" i="50"/>
  <c r="I37" i="50"/>
  <c r="H37" i="50"/>
  <c r="D37" i="50"/>
  <c r="AA37" i="50" s="1"/>
  <c r="C37" i="50"/>
  <c r="N36" i="50"/>
  <c r="AK36" i="50" s="1"/>
  <c r="M36" i="50"/>
  <c r="L36" i="50"/>
  <c r="AI36" i="50" s="1"/>
  <c r="K36" i="50"/>
  <c r="J36" i="50"/>
  <c r="AG36" i="50" s="1"/>
  <c r="I36" i="50"/>
  <c r="H36" i="50"/>
  <c r="D36" i="50"/>
  <c r="C36" i="50"/>
  <c r="D35" i="50"/>
  <c r="C35" i="50"/>
  <c r="C34" i="50"/>
  <c r="Z34" i="50" s="1"/>
  <c r="H27" i="50"/>
  <c r="H39" i="50" s="1"/>
  <c r="H34" i="50"/>
  <c r="H43" i="50" s="1"/>
  <c r="I27" i="50"/>
  <c r="I39" i="50" s="1"/>
  <c r="K26" i="50"/>
  <c r="K38" i="50" s="1"/>
  <c r="I23" i="50"/>
  <c r="I35" i="50" s="1"/>
  <c r="AE34" i="49"/>
  <c r="AD34" i="49"/>
  <c r="AC34" i="49"/>
  <c r="AB34" i="49"/>
  <c r="AA34" i="49"/>
  <c r="Z34" i="49"/>
  <c r="Y34" i="49"/>
  <c r="X34" i="49"/>
  <c r="W34" i="49"/>
  <c r="V34" i="49"/>
  <c r="U34" i="49"/>
  <c r="T34" i="49"/>
  <c r="S34" i="49"/>
  <c r="O34" i="49"/>
  <c r="N34" i="49"/>
  <c r="M34" i="49"/>
  <c r="L34" i="49"/>
  <c r="K34" i="49"/>
  <c r="J34" i="49"/>
  <c r="I34" i="49"/>
  <c r="H34" i="49"/>
  <c r="G34" i="49"/>
  <c r="F34" i="49"/>
  <c r="E34" i="49"/>
  <c r="D34" i="49"/>
  <c r="C34" i="49"/>
  <c r="AE33" i="49"/>
  <c r="AD33" i="49"/>
  <c r="AC33" i="49"/>
  <c r="AB33" i="49"/>
  <c r="AA33" i="49"/>
  <c r="Z33" i="49"/>
  <c r="Y33" i="49"/>
  <c r="X33" i="49"/>
  <c r="W33" i="49"/>
  <c r="V33" i="49"/>
  <c r="U33" i="49"/>
  <c r="T33" i="49"/>
  <c r="S33" i="49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AE32" i="49"/>
  <c r="AD32" i="49"/>
  <c r="AC32" i="49"/>
  <c r="AB32" i="49"/>
  <c r="AA32" i="49"/>
  <c r="Z32" i="49"/>
  <c r="Y32" i="49"/>
  <c r="X32" i="49"/>
  <c r="W32" i="49"/>
  <c r="V32" i="49"/>
  <c r="U32" i="49"/>
  <c r="T32" i="49"/>
  <c r="S32" i="49"/>
  <c r="O32" i="49"/>
  <c r="N32" i="49"/>
  <c r="M32" i="49"/>
  <c r="L32" i="49"/>
  <c r="K32" i="49"/>
  <c r="J32" i="49"/>
  <c r="I32" i="49"/>
  <c r="H32" i="49"/>
  <c r="G32" i="49"/>
  <c r="F32" i="49"/>
  <c r="E32" i="49"/>
  <c r="D32" i="49"/>
  <c r="C32" i="49"/>
  <c r="AE31" i="49"/>
  <c r="AD31" i="49"/>
  <c r="AC31" i="49"/>
  <c r="AB31" i="49"/>
  <c r="AA31" i="49"/>
  <c r="Z31" i="49"/>
  <c r="Y31" i="49"/>
  <c r="X31" i="49"/>
  <c r="W31" i="49"/>
  <c r="V31" i="49"/>
  <c r="U31" i="49"/>
  <c r="T31" i="49"/>
  <c r="S31" i="49"/>
  <c r="O31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AE30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O30" i="49"/>
  <c r="N30" i="49"/>
  <c r="M30" i="49"/>
  <c r="L30" i="49"/>
  <c r="K30" i="49"/>
  <c r="J30" i="49"/>
  <c r="I30" i="49"/>
  <c r="H30" i="49"/>
  <c r="G30" i="49"/>
  <c r="F30" i="49"/>
  <c r="E30" i="49"/>
  <c r="D30" i="49"/>
  <c r="C30" i="49"/>
  <c r="AE29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O29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AQ34" i="48"/>
  <c r="AP34" i="48"/>
  <c r="AO34" i="48"/>
  <c r="AN34" i="48"/>
  <c r="AM34" i="48"/>
  <c r="AL34" i="48"/>
  <c r="AK34" i="48"/>
  <c r="AJ34" i="48"/>
  <c r="AI34" i="48"/>
  <c r="AH34" i="48"/>
  <c r="AG34" i="48"/>
  <c r="AF34" i="48"/>
  <c r="AE34" i="48"/>
  <c r="AD34" i="48"/>
  <c r="AC34" i="48"/>
  <c r="AB34" i="48"/>
  <c r="AA34" i="48"/>
  <c r="Z34" i="48"/>
  <c r="Y34" i="48"/>
  <c r="AQ33" i="48"/>
  <c r="AP33" i="48"/>
  <c r="AO33" i="48"/>
  <c r="AN33" i="48"/>
  <c r="AM33" i="48"/>
  <c r="AL33" i="48"/>
  <c r="AK33" i="48"/>
  <c r="AJ33" i="48"/>
  <c r="AI33" i="48"/>
  <c r="AH33" i="48"/>
  <c r="AG33" i="48"/>
  <c r="AF33" i="48"/>
  <c r="AE33" i="48"/>
  <c r="AD33" i="48"/>
  <c r="AC33" i="48"/>
  <c r="AB33" i="48"/>
  <c r="AA33" i="48"/>
  <c r="Z33" i="48"/>
  <c r="Y33" i="48"/>
  <c r="AQ32" i="48"/>
  <c r="AP32" i="48"/>
  <c r="AO32" i="48"/>
  <c r="AN32" i="48"/>
  <c r="AM32" i="48"/>
  <c r="AL32" i="48"/>
  <c r="AK32" i="48"/>
  <c r="AJ32" i="48"/>
  <c r="AI32" i="48"/>
  <c r="AH32" i="48"/>
  <c r="AG32" i="48"/>
  <c r="AF32" i="48"/>
  <c r="AE32" i="48"/>
  <c r="AD32" i="48"/>
  <c r="AC32" i="48"/>
  <c r="AB32" i="48"/>
  <c r="AA32" i="48"/>
  <c r="Z32" i="48"/>
  <c r="Y32" i="48"/>
  <c r="AQ31" i="48"/>
  <c r="AP31" i="48"/>
  <c r="AO31" i="48"/>
  <c r="AN31" i="48"/>
  <c r="AM31" i="48"/>
  <c r="AL31" i="48"/>
  <c r="AK31" i="48"/>
  <c r="AJ31" i="48"/>
  <c r="AI31" i="48"/>
  <c r="AH31" i="48"/>
  <c r="AG31" i="48"/>
  <c r="AF31" i="48"/>
  <c r="AE31" i="48"/>
  <c r="AD31" i="48"/>
  <c r="AC31" i="48"/>
  <c r="AB31" i="48"/>
  <c r="AA31" i="48"/>
  <c r="Z31" i="48"/>
  <c r="Y31" i="48"/>
  <c r="AQ30" i="48"/>
  <c r="AP30" i="48"/>
  <c r="AO30" i="48"/>
  <c r="AN30" i="48"/>
  <c r="AM30" i="48"/>
  <c r="AL30" i="48"/>
  <c r="AK30" i="48"/>
  <c r="AJ30" i="48"/>
  <c r="AI30" i="48"/>
  <c r="AH30" i="48"/>
  <c r="AG30" i="48"/>
  <c r="AF30" i="48"/>
  <c r="AE30" i="48"/>
  <c r="AD30" i="48"/>
  <c r="AC30" i="48"/>
  <c r="AB30" i="48"/>
  <c r="AA30" i="48"/>
  <c r="Z30" i="48"/>
  <c r="Y30" i="48"/>
  <c r="AQ29" i="48"/>
  <c r="AP29" i="48"/>
  <c r="AO29" i="48"/>
  <c r="AN29" i="48"/>
  <c r="AM29" i="48"/>
  <c r="AL29" i="48"/>
  <c r="AK29" i="48"/>
  <c r="AJ29" i="48"/>
  <c r="AI29" i="48"/>
  <c r="AH29" i="48"/>
  <c r="AG29" i="48"/>
  <c r="AF29" i="48"/>
  <c r="AE29" i="48"/>
  <c r="AD29" i="48"/>
  <c r="AC29" i="48"/>
  <c r="AB29" i="48"/>
  <c r="AA29" i="48"/>
  <c r="Z29" i="48"/>
  <c r="Y29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H34" i="48"/>
  <c r="G34" i="48"/>
  <c r="F34" i="48"/>
  <c r="E34" i="48"/>
  <c r="D34" i="48"/>
  <c r="C34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E33" i="48"/>
  <c r="D33" i="48"/>
  <c r="C33" i="48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E32" i="48"/>
  <c r="D32" i="48"/>
  <c r="C32" i="48"/>
  <c r="U31" i="48"/>
  <c r="T31" i="48"/>
  <c r="S31" i="48"/>
  <c r="R31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E31" i="48"/>
  <c r="D31" i="48"/>
  <c r="C31" i="48"/>
  <c r="U30" i="48"/>
  <c r="T30" i="48"/>
  <c r="S30" i="48"/>
  <c r="R30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E30" i="48"/>
  <c r="D30" i="48"/>
  <c r="C30" i="48"/>
  <c r="U29" i="48"/>
  <c r="T29" i="48"/>
  <c r="S29" i="48"/>
  <c r="R29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E29" i="48"/>
  <c r="D29" i="48"/>
  <c r="C29" i="48"/>
  <c r="AJ33" i="46"/>
  <c r="AJ62" i="46" s="1"/>
  <c r="AI33" i="46"/>
  <c r="AH33" i="46"/>
  <c r="AH50" i="46" s="1"/>
  <c r="AG33" i="46"/>
  <c r="AG62" i="46" s="1"/>
  <c r="AF33" i="46"/>
  <c r="AE33" i="46"/>
  <c r="AD33" i="46"/>
  <c r="AC33" i="46"/>
  <c r="AC62" i="46" s="1"/>
  <c r="AB33" i="46"/>
  <c r="AB62" i="46" s="1"/>
  <c r="AA33" i="46"/>
  <c r="AA50" i="46" s="1"/>
  <c r="Z33" i="46"/>
  <c r="Z62" i="46" s="1"/>
  <c r="Y33" i="46"/>
  <c r="Y50" i="46" s="1"/>
  <c r="N33" i="46"/>
  <c r="M33" i="46"/>
  <c r="M62" i="46" s="1"/>
  <c r="L33" i="46"/>
  <c r="K33" i="46"/>
  <c r="K62" i="46" s="1"/>
  <c r="J33" i="46"/>
  <c r="J62" i="46" s="1"/>
  <c r="I33" i="46"/>
  <c r="I62" i="46" s="1"/>
  <c r="H33" i="46"/>
  <c r="H62" i="46" s="1"/>
  <c r="G33" i="46"/>
  <c r="G62" i="46" s="1"/>
  <c r="F33" i="46"/>
  <c r="E33" i="46"/>
  <c r="E62" i="46" s="1"/>
  <c r="D33" i="46"/>
  <c r="C33" i="46"/>
  <c r="AQ39" i="46"/>
  <c r="AP39" i="46"/>
  <c r="AO39" i="46"/>
  <c r="AN39" i="46"/>
  <c r="AM39" i="46"/>
  <c r="AL39" i="46"/>
  <c r="AK39" i="46"/>
  <c r="U39" i="46"/>
  <c r="T39" i="46"/>
  <c r="S39" i="46"/>
  <c r="R39" i="46"/>
  <c r="Q39" i="46"/>
  <c r="P39" i="46"/>
  <c r="O39" i="46"/>
  <c r="AJ30" i="46"/>
  <c r="AI30" i="46"/>
  <c r="AH30" i="46"/>
  <c r="AH47" i="46" s="1"/>
  <c r="AG30" i="46"/>
  <c r="AG59" i="46" s="1"/>
  <c r="AF30" i="46"/>
  <c r="AF59" i="46" s="1"/>
  <c r="AE30" i="46"/>
  <c r="AE59" i="46" s="1"/>
  <c r="AD30" i="46"/>
  <c r="AC30" i="46"/>
  <c r="AC47" i="46" s="1"/>
  <c r="AB30" i="46"/>
  <c r="AA30" i="46"/>
  <c r="AA59" i="46" s="1"/>
  <c r="Z30" i="46"/>
  <c r="Y30" i="46"/>
  <c r="Y47" i="46" s="1"/>
  <c r="N30" i="46"/>
  <c r="N59" i="46" s="1"/>
  <c r="M30" i="46"/>
  <c r="M59" i="46" s="1"/>
  <c r="L30" i="46"/>
  <c r="L47" i="46" s="1"/>
  <c r="K30" i="46"/>
  <c r="J30" i="46"/>
  <c r="I30" i="46"/>
  <c r="T30" i="46" s="1"/>
  <c r="T59" i="46" s="1"/>
  <c r="H30" i="46"/>
  <c r="H47" i="46" s="1"/>
  <c r="G30" i="46"/>
  <c r="G47" i="46" s="1"/>
  <c r="F30" i="46"/>
  <c r="F29" i="46" s="1"/>
  <c r="F58" i="46" s="1"/>
  <c r="E30" i="46"/>
  <c r="E59" i="46" s="1"/>
  <c r="D30" i="46"/>
  <c r="C30" i="46"/>
  <c r="AJ32" i="46"/>
  <c r="AI32" i="46"/>
  <c r="AI49" i="46" s="1"/>
  <c r="AH32" i="46"/>
  <c r="AH61" i="46" s="1"/>
  <c r="AG32" i="46"/>
  <c r="AG61" i="46" s="1"/>
  <c r="AF32" i="46"/>
  <c r="AF49" i="46" s="1"/>
  <c r="AE32" i="46"/>
  <c r="AD32" i="46"/>
  <c r="AD49" i="46" s="1"/>
  <c r="AC32" i="46"/>
  <c r="AB32" i="46"/>
  <c r="AA32" i="46"/>
  <c r="AA49" i="46" s="1"/>
  <c r="Z32" i="46"/>
  <c r="Z61" i="46" s="1"/>
  <c r="Y32" i="46"/>
  <c r="Y61" i="46" s="1"/>
  <c r="N32" i="46"/>
  <c r="N29" i="46" s="1"/>
  <c r="M32" i="46"/>
  <c r="M29" i="46" s="1"/>
  <c r="L32" i="46"/>
  <c r="L61" i="46" s="1"/>
  <c r="K32" i="46"/>
  <c r="J32" i="46"/>
  <c r="J29" i="46" s="1"/>
  <c r="I32" i="46"/>
  <c r="T32" i="46" s="1"/>
  <c r="T61" i="46" s="1"/>
  <c r="H32" i="46"/>
  <c r="H61" i="46" s="1"/>
  <c r="G32" i="46"/>
  <c r="F32" i="46"/>
  <c r="F49" i="46" s="1"/>
  <c r="E32" i="46"/>
  <c r="D32" i="46"/>
  <c r="D49" i="46" s="1"/>
  <c r="C32" i="46"/>
  <c r="C49" i="46" s="1"/>
  <c r="AQ38" i="46"/>
  <c r="AP38" i="46"/>
  <c r="AO38" i="46"/>
  <c r="AN38" i="46"/>
  <c r="AM38" i="46"/>
  <c r="AL38" i="46"/>
  <c r="AK38" i="46"/>
  <c r="U38" i="46"/>
  <c r="T38" i="46"/>
  <c r="S38" i="46"/>
  <c r="R38" i="46"/>
  <c r="Q38" i="46"/>
  <c r="P38" i="46"/>
  <c r="O38" i="46"/>
  <c r="AQ37" i="46"/>
  <c r="AP37" i="46"/>
  <c r="AO37" i="46"/>
  <c r="AN37" i="46"/>
  <c r="AM37" i="46"/>
  <c r="AL37" i="46"/>
  <c r="AK37" i="46"/>
  <c r="U37" i="46"/>
  <c r="T37" i="46"/>
  <c r="S37" i="46"/>
  <c r="R37" i="46"/>
  <c r="Q37" i="46"/>
  <c r="P37" i="46"/>
  <c r="O37" i="46"/>
  <c r="Y9" i="39"/>
  <c r="AQ36" i="46"/>
  <c r="AP36" i="46"/>
  <c r="AO36" i="46"/>
  <c r="AN36" i="46"/>
  <c r="AM36" i="46"/>
  <c r="AL36" i="46"/>
  <c r="AK36" i="46"/>
  <c r="AQ35" i="46"/>
  <c r="AP35" i="46"/>
  <c r="AO35" i="46"/>
  <c r="AN35" i="46"/>
  <c r="AM35" i="46"/>
  <c r="AL35" i="46"/>
  <c r="AK35" i="46"/>
  <c r="U36" i="46"/>
  <c r="T36" i="46"/>
  <c r="S36" i="46"/>
  <c r="R36" i="46"/>
  <c r="Q36" i="46"/>
  <c r="P36" i="46"/>
  <c r="O36" i="46"/>
  <c r="U35" i="46"/>
  <c r="T35" i="46"/>
  <c r="S35" i="46"/>
  <c r="R35" i="46"/>
  <c r="Q35" i="46"/>
  <c r="P35" i="46"/>
  <c r="O35" i="46"/>
  <c r="AJ29" i="46"/>
  <c r="AJ58" i="46" s="1"/>
  <c r="AH29" i="46"/>
  <c r="AH46" i="46" s="1"/>
  <c r="AG29" i="46"/>
  <c r="AG46" i="46" s="1"/>
  <c r="AF29" i="46"/>
  <c r="AF46" i="46" s="1"/>
  <c r="AB29" i="46"/>
  <c r="AB58" i="46" s="1"/>
  <c r="AJ63" i="46"/>
  <c r="AI63" i="46"/>
  <c r="AH63" i="46"/>
  <c r="AG63" i="46"/>
  <c r="AF63" i="46"/>
  <c r="AE63" i="46"/>
  <c r="AD63" i="46"/>
  <c r="AC63" i="46"/>
  <c r="AB63" i="46"/>
  <c r="AA63" i="46"/>
  <c r="Z63" i="46"/>
  <c r="Y63" i="46"/>
  <c r="AF62" i="46"/>
  <c r="AD62" i="46"/>
  <c r="AA62" i="46"/>
  <c r="AJ61" i="46"/>
  <c r="AF61" i="46"/>
  <c r="AD61" i="46"/>
  <c r="AC61" i="46"/>
  <c r="AB61" i="46"/>
  <c r="AJ60" i="46"/>
  <c r="AI60" i="46"/>
  <c r="AH60" i="46"/>
  <c r="AG60" i="46"/>
  <c r="AF60" i="46"/>
  <c r="AE60" i="46"/>
  <c r="AD60" i="46"/>
  <c r="AC60" i="46"/>
  <c r="AB60" i="46"/>
  <c r="AA60" i="46"/>
  <c r="Z60" i="46"/>
  <c r="Y60" i="46"/>
  <c r="AJ59" i="46"/>
  <c r="AH59" i="46"/>
  <c r="AB59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N62" i="46"/>
  <c r="L62" i="46"/>
  <c r="F62" i="46"/>
  <c r="D62" i="46"/>
  <c r="K61" i="46"/>
  <c r="J61" i="46"/>
  <c r="F61" i="46"/>
  <c r="N60" i="46"/>
  <c r="M60" i="46"/>
  <c r="L60" i="46"/>
  <c r="K60" i="46"/>
  <c r="J60" i="46"/>
  <c r="I60" i="46"/>
  <c r="H60" i="46"/>
  <c r="G60" i="46"/>
  <c r="F60" i="46"/>
  <c r="E60" i="46"/>
  <c r="D60" i="46"/>
  <c r="C60" i="46"/>
  <c r="J59" i="46"/>
  <c r="AJ51" i="46"/>
  <c r="AI51" i="46"/>
  <c r="AH51" i="46"/>
  <c r="AG51" i="46"/>
  <c r="AF51" i="46"/>
  <c r="AE51" i="46"/>
  <c r="AD51" i="46"/>
  <c r="AC51" i="46"/>
  <c r="AB51" i="46"/>
  <c r="AA51" i="46"/>
  <c r="Z51" i="46"/>
  <c r="Y51" i="46"/>
  <c r="AF50" i="46"/>
  <c r="AD50" i="46"/>
  <c r="Z50" i="46"/>
  <c r="AJ49" i="46"/>
  <c r="AG49" i="46"/>
  <c r="AB49" i="46"/>
  <c r="AJ48" i="46"/>
  <c r="AI48" i="46"/>
  <c r="AH48" i="46"/>
  <c r="AG48" i="46"/>
  <c r="AF48" i="46"/>
  <c r="AE48" i="46"/>
  <c r="AD48" i="46"/>
  <c r="AC48" i="46"/>
  <c r="AB48" i="46"/>
  <c r="AA48" i="46"/>
  <c r="Z48" i="46"/>
  <c r="Y48" i="46"/>
  <c r="AJ47" i="46"/>
  <c r="AB47" i="46"/>
  <c r="Z47" i="46"/>
  <c r="N49" i="46"/>
  <c r="M49" i="46"/>
  <c r="K49" i="46"/>
  <c r="J49" i="46"/>
  <c r="N48" i="46"/>
  <c r="M48" i="46"/>
  <c r="L48" i="46"/>
  <c r="K48" i="46"/>
  <c r="J48" i="46"/>
  <c r="I48" i="46"/>
  <c r="H48" i="46"/>
  <c r="G48" i="46"/>
  <c r="F48" i="46"/>
  <c r="E48" i="46"/>
  <c r="D48" i="46"/>
  <c r="C48" i="46"/>
  <c r="N47" i="46"/>
  <c r="J47" i="46"/>
  <c r="D47" i="46"/>
  <c r="AQ34" i="46"/>
  <c r="AQ63" i="46" s="1"/>
  <c r="AP34" i="46"/>
  <c r="AP63" i="46" s="1"/>
  <c r="AO34" i="46"/>
  <c r="AO51" i="46" s="1"/>
  <c r="AN34" i="46"/>
  <c r="AN51" i="46" s="1"/>
  <c r="AM34" i="46"/>
  <c r="AM63" i="46" s="1"/>
  <c r="AL34" i="46"/>
  <c r="AL63" i="46" s="1"/>
  <c r="AK34" i="46"/>
  <c r="AK63" i="46" s="1"/>
  <c r="AQ31" i="46"/>
  <c r="AQ60" i="46" s="1"/>
  <c r="AP31" i="46"/>
  <c r="AP48" i="46" s="1"/>
  <c r="AO31" i="46"/>
  <c r="AO48" i="46" s="1"/>
  <c r="AN31" i="46"/>
  <c r="AN60" i="46" s="1"/>
  <c r="AM31" i="46"/>
  <c r="AM60" i="46" s="1"/>
  <c r="AL31" i="46"/>
  <c r="AL60" i="46" s="1"/>
  <c r="AK31" i="46"/>
  <c r="AK60" i="46" s="1"/>
  <c r="U31" i="46"/>
  <c r="U48" i="46" s="1"/>
  <c r="T31" i="46"/>
  <c r="T48" i="46" s="1"/>
  <c r="S31" i="46"/>
  <c r="S60" i="46" s="1"/>
  <c r="R31" i="46"/>
  <c r="R60" i="46" s="1"/>
  <c r="Q31" i="46"/>
  <c r="Q60" i="46" s="1"/>
  <c r="P31" i="46"/>
  <c r="P60" i="46" s="1"/>
  <c r="O31" i="46"/>
  <c r="O60" i="46" s="1"/>
  <c r="S34" i="46"/>
  <c r="S63" i="46" s="1"/>
  <c r="U34" i="46"/>
  <c r="U63" i="46" s="1"/>
  <c r="N21" i="46"/>
  <c r="N50" i="46" s="1"/>
  <c r="M21" i="46"/>
  <c r="AJ8" i="50" s="1"/>
  <c r="L21" i="46"/>
  <c r="AI8" i="50" s="1"/>
  <c r="K21" i="46"/>
  <c r="K22" i="46" s="1"/>
  <c r="K51" i="46" s="1"/>
  <c r="J21" i="46"/>
  <c r="J22" i="46" s="1"/>
  <c r="J51" i="46" s="1"/>
  <c r="I21" i="46"/>
  <c r="I22" i="46" s="1"/>
  <c r="AF9" i="50" s="1"/>
  <c r="H21" i="46"/>
  <c r="H22" i="46" s="1"/>
  <c r="H51" i="46" s="1"/>
  <c r="G21" i="46"/>
  <c r="AD8" i="50" s="1"/>
  <c r="F21" i="46"/>
  <c r="F50" i="46" s="1"/>
  <c r="E21" i="46"/>
  <c r="AB8" i="50" s="1"/>
  <c r="D21" i="46"/>
  <c r="D50" i="46" s="1"/>
  <c r="C21" i="46"/>
  <c r="C22" i="46" s="1"/>
  <c r="Z9" i="50" s="1"/>
  <c r="AB50" i="46" l="1"/>
  <c r="F59" i="46"/>
  <c r="AI61" i="46"/>
  <c r="AH62" i="46"/>
  <c r="AQ33" i="46"/>
  <c r="AQ50" i="46" s="1"/>
  <c r="N61" i="46"/>
  <c r="Y62" i="46"/>
  <c r="AM30" i="46"/>
  <c r="AM59" i="46" s="1"/>
  <c r="E47" i="46"/>
  <c r="AF47" i="46"/>
  <c r="F47" i="46"/>
  <c r="Z29" i="46"/>
  <c r="Z58" i="46" s="1"/>
  <c r="AH49" i="46"/>
  <c r="AG50" i="46"/>
  <c r="AA35" i="50"/>
  <c r="Z59" i="46"/>
  <c r="AI29" i="46"/>
  <c r="AI46" i="46" s="1"/>
  <c r="H49" i="46"/>
  <c r="AE47" i="46"/>
  <c r="AI50" i="46"/>
  <c r="M47" i="46"/>
  <c r="Y49" i="46"/>
  <c r="AJ50" i="46"/>
  <c r="S33" i="46"/>
  <c r="S62" i="46" s="1"/>
  <c r="AG47" i="46"/>
  <c r="Z49" i="46"/>
  <c r="AE34" i="50"/>
  <c r="AT34" i="50" s="1"/>
  <c r="AD36" i="50"/>
  <c r="AI37" i="50"/>
  <c r="AI62" i="46"/>
  <c r="AP30" i="46"/>
  <c r="AP59" i="46" s="1"/>
  <c r="AF36" i="50"/>
  <c r="AC36" i="50"/>
  <c r="F45" i="50"/>
  <c r="AC37" i="50"/>
  <c r="F46" i="50"/>
  <c r="I47" i="46"/>
  <c r="AI59" i="46"/>
  <c r="AA61" i="46"/>
  <c r="AE36" i="50"/>
  <c r="AQ30" i="46"/>
  <c r="AQ59" i="46" s="1"/>
  <c r="AQ32" i="46"/>
  <c r="AQ61" i="46" s="1"/>
  <c r="AJ46" i="46"/>
  <c r="AI47" i="46"/>
  <c r="AA29" i="46"/>
  <c r="AA46" i="46" s="1"/>
  <c r="Q30" i="46"/>
  <c r="Q59" i="46" s="1"/>
  <c r="T33" i="46"/>
  <c r="T62" i="46" s="1"/>
  <c r="AL33" i="46"/>
  <c r="AL62" i="46" s="1"/>
  <c r="I49" i="46"/>
  <c r="I61" i="46"/>
  <c r="AO33" i="46"/>
  <c r="AO62" i="46" s="1"/>
  <c r="AA47" i="46"/>
  <c r="AN33" i="46"/>
  <c r="AN62" i="46" s="1"/>
  <c r="AC50" i="46"/>
  <c r="AJ36" i="50"/>
  <c r="AR36" i="50" s="1"/>
  <c r="AG9" i="50"/>
  <c r="U36" i="50"/>
  <c r="AG37" i="50"/>
  <c r="AA36" i="50"/>
  <c r="AB36" i="50"/>
  <c r="E45" i="50"/>
  <c r="AB37" i="50"/>
  <c r="E46" i="50"/>
  <c r="S36" i="50"/>
  <c r="R36" i="50"/>
  <c r="Z37" i="50"/>
  <c r="AF37" i="50"/>
  <c r="AE37" i="50"/>
  <c r="Z39" i="50"/>
  <c r="AA34" i="50"/>
  <c r="Z35" i="50"/>
  <c r="AJ37" i="50"/>
  <c r="R37" i="50"/>
  <c r="T37" i="50"/>
  <c r="Q37" i="50"/>
  <c r="E50" i="46"/>
  <c r="M50" i="46"/>
  <c r="D61" i="46"/>
  <c r="AP32" i="46"/>
  <c r="AP61" i="46" s="1"/>
  <c r="D29" i="46"/>
  <c r="D46" i="46" s="1"/>
  <c r="AD29" i="46"/>
  <c r="J26" i="50"/>
  <c r="J38" i="50" s="1"/>
  <c r="Q36" i="50"/>
  <c r="S37" i="50"/>
  <c r="AC8" i="50"/>
  <c r="AK8" i="50"/>
  <c r="AH9" i="50"/>
  <c r="L49" i="46"/>
  <c r="K59" i="46"/>
  <c r="E29" i="46"/>
  <c r="E58" i="46" s="1"/>
  <c r="U37" i="50"/>
  <c r="AN32" i="46"/>
  <c r="AN61" i="46" s="1"/>
  <c r="AE8" i="50"/>
  <c r="AF8" i="50"/>
  <c r="K47" i="46"/>
  <c r="AB46" i="46"/>
  <c r="K29" i="46"/>
  <c r="M13" i="50"/>
  <c r="M22" i="50" s="1"/>
  <c r="M34" i="50" s="1"/>
  <c r="AJ34" i="50" s="1"/>
  <c r="H23" i="50"/>
  <c r="H35" i="50" s="1"/>
  <c r="AE35" i="50" s="1"/>
  <c r="AG8" i="50"/>
  <c r="R33" i="46"/>
  <c r="R62" i="46" s="1"/>
  <c r="I13" i="50"/>
  <c r="I22" i="50" s="1"/>
  <c r="I34" i="50" s="1"/>
  <c r="AF34" i="50" s="1"/>
  <c r="Z8" i="50"/>
  <c r="Z38" i="50" s="1"/>
  <c r="AH8" i="50"/>
  <c r="AH38" i="50" s="1"/>
  <c r="AE9" i="50"/>
  <c r="AE39" i="50" s="1"/>
  <c r="AK37" i="50"/>
  <c r="AD34" i="50"/>
  <c r="AA8" i="50"/>
  <c r="AA38" i="50" s="1"/>
  <c r="Z36" i="50"/>
  <c r="AH36" i="50"/>
  <c r="AD37" i="50"/>
  <c r="AF39" i="50"/>
  <c r="AL32" i="46"/>
  <c r="AL49" i="46" s="1"/>
  <c r="C61" i="46"/>
  <c r="AF35" i="50"/>
  <c r="T36" i="50"/>
  <c r="O37" i="50"/>
  <c r="V37" i="50" s="1"/>
  <c r="O36" i="50"/>
  <c r="V36" i="50" s="1"/>
  <c r="P37" i="50"/>
  <c r="P36" i="50"/>
  <c r="N13" i="50"/>
  <c r="N22" i="50" s="1"/>
  <c r="N34" i="50" s="1"/>
  <c r="AK34" i="50" s="1"/>
  <c r="I26" i="50"/>
  <c r="I38" i="50" s="1"/>
  <c r="N27" i="50"/>
  <c r="N39" i="50" s="1"/>
  <c r="H26" i="50"/>
  <c r="H38" i="50" s="1"/>
  <c r="N23" i="50"/>
  <c r="N35" i="50" s="1"/>
  <c r="AK35" i="50" s="1"/>
  <c r="L13" i="50"/>
  <c r="L22" i="50" s="1"/>
  <c r="L34" i="50" s="1"/>
  <c r="M27" i="50"/>
  <c r="M39" i="50" s="1"/>
  <c r="E48" i="50"/>
  <c r="M23" i="50"/>
  <c r="M35" i="50" s="1"/>
  <c r="AJ35" i="50" s="1"/>
  <c r="K13" i="50"/>
  <c r="K22" i="50" s="1"/>
  <c r="K34" i="50" s="1"/>
  <c r="AH34" i="50" s="1"/>
  <c r="L27" i="50"/>
  <c r="L39" i="50" s="1"/>
  <c r="N26" i="50"/>
  <c r="N38" i="50" s="1"/>
  <c r="L23" i="50"/>
  <c r="L35" i="50" s="1"/>
  <c r="AI35" i="50" s="1"/>
  <c r="J13" i="50"/>
  <c r="J22" i="50" s="1"/>
  <c r="J34" i="50" s="1"/>
  <c r="AG34" i="50" s="1"/>
  <c r="K27" i="50"/>
  <c r="K39" i="50" s="1"/>
  <c r="M26" i="50"/>
  <c r="M38" i="50" s="1"/>
  <c r="AJ38" i="50" s="1"/>
  <c r="K23" i="50"/>
  <c r="K35" i="50" s="1"/>
  <c r="AH35" i="50" s="1"/>
  <c r="J27" i="50"/>
  <c r="J39" i="50" s="1"/>
  <c r="AG39" i="50" s="1"/>
  <c r="L26" i="50"/>
  <c r="L38" i="50" s="1"/>
  <c r="J23" i="50"/>
  <c r="J35" i="50" s="1"/>
  <c r="AG35" i="50" s="1"/>
  <c r="C62" i="46"/>
  <c r="C29" i="46"/>
  <c r="C58" i="46" s="1"/>
  <c r="R32" i="46"/>
  <c r="R49" i="46" s="1"/>
  <c r="AK33" i="46"/>
  <c r="AK62" i="46" s="1"/>
  <c r="C47" i="46"/>
  <c r="Y59" i="46"/>
  <c r="Y29" i="46"/>
  <c r="Y58" i="46" s="1"/>
  <c r="AN30" i="46"/>
  <c r="AN59" i="46" s="1"/>
  <c r="C59" i="46"/>
  <c r="AE50" i="46"/>
  <c r="AM33" i="46"/>
  <c r="AM62" i="46" s="1"/>
  <c r="AE62" i="46"/>
  <c r="AP33" i="46"/>
  <c r="AP62" i="46" s="1"/>
  <c r="P33" i="46"/>
  <c r="P62" i="46" s="1"/>
  <c r="G50" i="46"/>
  <c r="M22" i="46"/>
  <c r="R30" i="46"/>
  <c r="R59" i="46" s="1"/>
  <c r="E49" i="46"/>
  <c r="L59" i="46"/>
  <c r="M61" i="46"/>
  <c r="AO60" i="46"/>
  <c r="I50" i="46"/>
  <c r="E61" i="46"/>
  <c r="L29" i="46"/>
  <c r="U29" i="46" s="1"/>
  <c r="S32" i="46"/>
  <c r="S61" i="46" s="1"/>
  <c r="U30" i="46"/>
  <c r="U59" i="46" s="1"/>
  <c r="Q32" i="46"/>
  <c r="Q49" i="46" s="1"/>
  <c r="AF58" i="46"/>
  <c r="F46" i="46"/>
  <c r="AD47" i="46"/>
  <c r="D59" i="46"/>
  <c r="H29" i="46"/>
  <c r="H58" i="46" s="1"/>
  <c r="AL50" i="46"/>
  <c r="AN63" i="46"/>
  <c r="I29" i="46"/>
  <c r="I46" i="46" s="1"/>
  <c r="U32" i="46"/>
  <c r="U61" i="46" s="1"/>
  <c r="O48" i="46"/>
  <c r="AE29" i="46"/>
  <c r="AE58" i="46" s="1"/>
  <c r="AD58" i="46"/>
  <c r="AD46" i="46"/>
  <c r="AC59" i="46"/>
  <c r="AK30" i="46"/>
  <c r="AK47" i="46" s="1"/>
  <c r="AD59" i="46"/>
  <c r="AO30" i="46"/>
  <c r="AO59" i="46" s="1"/>
  <c r="AL30" i="46"/>
  <c r="AL59" i="46" s="1"/>
  <c r="AC29" i="46"/>
  <c r="AC46" i="46" s="1"/>
  <c r="S30" i="46"/>
  <c r="S59" i="46" s="1"/>
  <c r="G59" i="46"/>
  <c r="H59" i="46"/>
  <c r="I59" i="46"/>
  <c r="O30" i="46"/>
  <c r="O47" i="46" s="1"/>
  <c r="P30" i="46"/>
  <c r="P47" i="46" s="1"/>
  <c r="AK32" i="46"/>
  <c r="AK61" i="46" s="1"/>
  <c r="AM32" i="46"/>
  <c r="AM49" i="46" s="1"/>
  <c r="AC49" i="46"/>
  <c r="AE61" i="46"/>
  <c r="AO32" i="46"/>
  <c r="AO61" i="46" s="1"/>
  <c r="AE49" i="46"/>
  <c r="J46" i="46"/>
  <c r="J58" i="46"/>
  <c r="M58" i="46"/>
  <c r="M46" i="46"/>
  <c r="N58" i="46"/>
  <c r="N46" i="46"/>
  <c r="G61" i="46"/>
  <c r="R61" i="46"/>
  <c r="O32" i="46"/>
  <c r="O61" i="46" s="1"/>
  <c r="G49" i="46"/>
  <c r="P32" i="46"/>
  <c r="P61" i="46" s="1"/>
  <c r="G29" i="46"/>
  <c r="G46" i="46" s="1"/>
  <c r="C46" i="46"/>
  <c r="U21" i="46"/>
  <c r="AR8" i="50" s="1"/>
  <c r="AN49" i="46"/>
  <c r="AO63" i="46"/>
  <c r="AQ62" i="46"/>
  <c r="Q21" i="46"/>
  <c r="AN8" i="50" s="1"/>
  <c r="AQ48" i="46"/>
  <c r="D22" i="46"/>
  <c r="AP51" i="46"/>
  <c r="E22" i="46"/>
  <c r="T49" i="46"/>
  <c r="AQ51" i="46"/>
  <c r="L22" i="46"/>
  <c r="H50" i="46"/>
  <c r="AM47" i="46"/>
  <c r="AQ29" i="46"/>
  <c r="AQ58" i="46" s="1"/>
  <c r="T22" i="46"/>
  <c r="AQ9" i="50" s="1"/>
  <c r="I51" i="46"/>
  <c r="C51" i="46"/>
  <c r="F22" i="46"/>
  <c r="AC9" i="50" s="1"/>
  <c r="N22" i="46"/>
  <c r="P48" i="46"/>
  <c r="J50" i="46"/>
  <c r="Z46" i="46"/>
  <c r="AK48" i="46"/>
  <c r="AP49" i="46"/>
  <c r="AM50" i="46"/>
  <c r="AH58" i="46"/>
  <c r="O21" i="46"/>
  <c r="AL8" i="50" s="1"/>
  <c r="AG58" i="46"/>
  <c r="AP60" i="46"/>
  <c r="R21" i="46"/>
  <c r="G22" i="46"/>
  <c r="T47" i="46"/>
  <c r="Q48" i="46"/>
  <c r="C50" i="46"/>
  <c r="K50" i="46"/>
  <c r="AL48" i="46"/>
  <c r="AQ49" i="46"/>
  <c r="AK51" i="46"/>
  <c r="P21" i="46"/>
  <c r="AM8" i="50" s="1"/>
  <c r="S21" i="46"/>
  <c r="R48" i="46"/>
  <c r="L50" i="46"/>
  <c r="AM48" i="46"/>
  <c r="AO50" i="46"/>
  <c r="AL51" i="46"/>
  <c r="T21" i="46"/>
  <c r="S48" i="46"/>
  <c r="AQ47" i="46"/>
  <c r="AN48" i="46"/>
  <c r="AM51" i="46"/>
  <c r="T60" i="46"/>
  <c r="U60" i="46"/>
  <c r="AP29" i="46"/>
  <c r="H46" i="46"/>
  <c r="U33" i="46"/>
  <c r="Q33" i="46"/>
  <c r="O33" i="46"/>
  <c r="Y59" i="39"/>
  <c r="AQ15" i="39"/>
  <c r="AP15" i="39"/>
  <c r="AO15" i="39"/>
  <c r="AN15" i="39"/>
  <c r="AM15" i="39"/>
  <c r="AL15" i="39"/>
  <c r="AK15" i="39"/>
  <c r="AQ14" i="39"/>
  <c r="AP14" i="39"/>
  <c r="AO14" i="39"/>
  <c r="AN14" i="39"/>
  <c r="AM14" i="39"/>
  <c r="AL14" i="39"/>
  <c r="AK14" i="39"/>
  <c r="AQ36" i="50" l="1"/>
  <c r="AN50" i="46"/>
  <c r="U22" i="46"/>
  <c r="Q47" i="46"/>
  <c r="AI58" i="46"/>
  <c r="AA58" i="46"/>
  <c r="P38" i="50"/>
  <c r="AF38" i="50"/>
  <c r="AP36" i="50"/>
  <c r="AP47" i="46"/>
  <c r="AO37" i="50"/>
  <c r="G58" i="46"/>
  <c r="U58" i="46"/>
  <c r="U46" i="46"/>
  <c r="AQ37" i="50"/>
  <c r="U49" i="46"/>
  <c r="R29" i="46"/>
  <c r="R46" i="46" s="1"/>
  <c r="F48" i="50"/>
  <c r="E46" i="46"/>
  <c r="F47" i="50"/>
  <c r="U34" i="50"/>
  <c r="AM61" i="46"/>
  <c r="AM37" i="50"/>
  <c r="P49" i="46"/>
  <c r="AG38" i="50"/>
  <c r="AQ38" i="50" s="1"/>
  <c r="U47" i="46"/>
  <c r="AK50" i="46"/>
  <c r="AN36" i="50"/>
  <c r="Q29" i="46"/>
  <c r="Q58" i="46" s="1"/>
  <c r="S47" i="46"/>
  <c r="AK38" i="50"/>
  <c r="AB38" i="50"/>
  <c r="AO38" i="50" s="1"/>
  <c r="E47" i="50"/>
  <c r="AB35" i="50"/>
  <c r="AO35" i="50" s="1"/>
  <c r="E44" i="50"/>
  <c r="AB34" i="50"/>
  <c r="AO34" i="50" s="1"/>
  <c r="T34" i="50"/>
  <c r="AQ34" i="50"/>
  <c r="AL37" i="50"/>
  <c r="AN37" i="50"/>
  <c r="AN35" i="50"/>
  <c r="AP37" i="50"/>
  <c r="AR35" i="50"/>
  <c r="U35" i="50"/>
  <c r="AL36" i="50"/>
  <c r="AO36" i="50"/>
  <c r="AO29" i="46"/>
  <c r="AO58" i="46" s="1"/>
  <c r="L51" i="46"/>
  <c r="AI9" i="50"/>
  <c r="AI39" i="50" s="1"/>
  <c r="D51" i="46"/>
  <c r="AA9" i="50"/>
  <c r="AA39" i="50" s="1"/>
  <c r="AE38" i="50"/>
  <c r="Q34" i="50"/>
  <c r="T35" i="50"/>
  <c r="Q35" i="50"/>
  <c r="R50" i="46"/>
  <c r="AO8" i="50"/>
  <c r="AM29" i="46"/>
  <c r="AM46" i="46" s="1"/>
  <c r="P29" i="46"/>
  <c r="T50" i="46"/>
  <c r="AQ8" i="50"/>
  <c r="S50" i="46"/>
  <c r="AP8" i="50"/>
  <c r="Q61" i="46"/>
  <c r="AH39" i="50"/>
  <c r="AQ39" i="50" s="1"/>
  <c r="K58" i="46"/>
  <c r="K46" i="46"/>
  <c r="AR37" i="50"/>
  <c r="O29" i="46"/>
  <c r="O58" i="46" s="1"/>
  <c r="U51" i="46"/>
  <c r="AR9" i="50"/>
  <c r="N51" i="46"/>
  <c r="AK9" i="50"/>
  <c r="AK39" i="50" s="1"/>
  <c r="E51" i="46"/>
  <c r="AB9" i="50"/>
  <c r="AB39" i="50" s="1"/>
  <c r="I58" i="46"/>
  <c r="S29" i="46"/>
  <c r="AI38" i="50"/>
  <c r="U38" i="50"/>
  <c r="AM36" i="50"/>
  <c r="R35" i="50"/>
  <c r="R38" i="50"/>
  <c r="M51" i="46"/>
  <c r="AJ9" i="50"/>
  <c r="AJ39" i="50" s="1"/>
  <c r="Q38" i="50"/>
  <c r="AI34" i="50"/>
  <c r="AR34" i="50" s="1"/>
  <c r="AE46" i="46"/>
  <c r="T38" i="50"/>
  <c r="D58" i="46"/>
  <c r="AP50" i="46"/>
  <c r="G51" i="46"/>
  <c r="AD9" i="50"/>
  <c r="R22" i="46"/>
  <c r="AO9" i="50" s="1"/>
  <c r="S49" i="46"/>
  <c r="R34" i="50"/>
  <c r="R39" i="50"/>
  <c r="T39" i="50"/>
  <c r="U39" i="50"/>
  <c r="Q39" i="50"/>
  <c r="AL61" i="46"/>
  <c r="AQ35" i="50"/>
  <c r="P50" i="46"/>
  <c r="O49" i="46"/>
  <c r="AK49" i="46"/>
  <c r="Y46" i="46"/>
  <c r="AN29" i="46"/>
  <c r="AN46" i="46" s="1"/>
  <c r="R47" i="46"/>
  <c r="AK59" i="46"/>
  <c r="AN47" i="46"/>
  <c r="O59" i="46"/>
  <c r="P59" i="46"/>
  <c r="L46" i="46"/>
  <c r="L58" i="46"/>
  <c r="T29" i="46"/>
  <c r="T46" i="46" s="1"/>
  <c r="AL29" i="46"/>
  <c r="AC58" i="46"/>
  <c r="AL47" i="46"/>
  <c r="AK29" i="46"/>
  <c r="AK46" i="46" s="1"/>
  <c r="AO47" i="46"/>
  <c r="AQ46" i="46"/>
  <c r="AO49" i="46"/>
  <c r="R58" i="46"/>
  <c r="S22" i="46"/>
  <c r="F51" i="46"/>
  <c r="Q22" i="46"/>
  <c r="AN9" i="50" s="1"/>
  <c r="O50" i="46"/>
  <c r="O62" i="46"/>
  <c r="O22" i="46"/>
  <c r="AL9" i="50" s="1"/>
  <c r="Q50" i="46"/>
  <c r="Q62" i="46"/>
  <c r="U62" i="46"/>
  <c r="U50" i="46"/>
  <c r="P22" i="46"/>
  <c r="AM9" i="50" s="1"/>
  <c r="AP58" i="46"/>
  <c r="AP46" i="46"/>
  <c r="AM58" i="46"/>
  <c r="P46" i="46"/>
  <c r="P58" i="46"/>
  <c r="O46" i="46"/>
  <c r="R34" i="46"/>
  <c r="P34" i="46"/>
  <c r="O34" i="46"/>
  <c r="T34" i="46"/>
  <c r="Q34" i="46"/>
  <c r="H4" i="44"/>
  <c r="H3" i="44"/>
  <c r="P35" i="50" l="1"/>
  <c r="AD39" i="50"/>
  <c r="AD35" i="50"/>
  <c r="AD38" i="50"/>
  <c r="O38" i="50"/>
  <c r="V38" i="50" s="1"/>
  <c r="S35" i="50"/>
  <c r="O35" i="50"/>
  <c r="V35" i="50" s="1"/>
  <c r="AR38" i="50"/>
  <c r="AC35" i="50"/>
  <c r="F44" i="50"/>
  <c r="S39" i="50"/>
  <c r="AC38" i="50"/>
  <c r="AC39" i="50"/>
  <c r="P39" i="50"/>
  <c r="S38" i="50"/>
  <c r="O39" i="50"/>
  <c r="V39" i="50" s="1"/>
  <c r="Q46" i="46"/>
  <c r="S51" i="46"/>
  <c r="AP9" i="50"/>
  <c r="S46" i="46"/>
  <c r="S58" i="46"/>
  <c r="AN38" i="50"/>
  <c r="AO46" i="46"/>
  <c r="AN34" i="50"/>
  <c r="AR39" i="50"/>
  <c r="AO39" i="50"/>
  <c r="AN39" i="50"/>
  <c r="AN58" i="46"/>
  <c r="AK58" i="46"/>
  <c r="T58" i="46"/>
  <c r="AL58" i="46"/>
  <c r="AL46" i="46"/>
  <c r="R63" i="46"/>
  <c r="R51" i="46"/>
  <c r="Q63" i="46"/>
  <c r="Q51" i="46"/>
  <c r="T51" i="46"/>
  <c r="T63" i="46"/>
  <c r="O63" i="46"/>
  <c r="O51" i="46"/>
  <c r="P63" i="46"/>
  <c r="P51" i="46"/>
  <c r="AL39" i="50" l="1"/>
  <c r="AL35" i="50"/>
  <c r="AM38" i="50"/>
  <c r="AM35" i="50"/>
  <c r="AP38" i="50"/>
  <c r="AP39" i="50"/>
  <c r="AM39" i="50"/>
  <c r="F43" i="50"/>
  <c r="P34" i="50"/>
  <c r="O34" i="50"/>
  <c r="V34" i="50" s="1"/>
  <c r="AC34" i="50"/>
  <c r="S34" i="50"/>
  <c r="AL38" i="50"/>
  <c r="AP35" i="50"/>
  <c r="G3" i="44"/>
  <c r="D20" i="44"/>
  <c r="D3" i="44"/>
  <c r="AL34" i="50" l="1"/>
  <c r="AP34" i="50"/>
  <c r="AM34" i="50"/>
  <c r="E3" i="44"/>
  <c r="AI45" i="39"/>
  <c r="AH45" i="39"/>
  <c r="AG45" i="39"/>
  <c r="AF45" i="39"/>
  <c r="AE45" i="39"/>
  <c r="AD45" i="39"/>
  <c r="AC45" i="39"/>
  <c r="AB45" i="39"/>
  <c r="AA45" i="39"/>
  <c r="Z45" i="39"/>
  <c r="Y45" i="39"/>
  <c r="AI44" i="39"/>
  <c r="AH44" i="39"/>
  <c r="AG44" i="39"/>
  <c r="AF44" i="39"/>
  <c r="AE44" i="39"/>
  <c r="AD44" i="39"/>
  <c r="AC44" i="39"/>
  <c r="AB44" i="39"/>
  <c r="AA44" i="39"/>
  <c r="Z44" i="39"/>
  <c r="Y44" i="39"/>
  <c r="AA71" i="39" l="1"/>
  <c r="Z63" i="39" l="1"/>
  <c r="AA63" i="39"/>
  <c r="AB63" i="39"/>
  <c r="AC63" i="39"/>
  <c r="AD63" i="39"/>
  <c r="AE63" i="39"/>
  <c r="AF63" i="39"/>
  <c r="AG63" i="39"/>
  <c r="AH63" i="39"/>
  <c r="AI63" i="39"/>
  <c r="AJ63" i="39"/>
  <c r="AK74" i="39"/>
  <c r="Y73" i="39" l="1"/>
  <c r="Z71" i="39" l="1"/>
  <c r="AB71" i="39"/>
  <c r="AC71" i="39"/>
  <c r="AD71" i="39"/>
  <c r="AE71" i="39"/>
  <c r="AF71" i="39"/>
  <c r="AG71" i="39"/>
  <c r="AH71" i="39"/>
  <c r="AI71" i="39"/>
  <c r="AJ71" i="39"/>
  <c r="Y71" i="39"/>
  <c r="AB113" i="39"/>
  <c r="AC113" i="39"/>
  <c r="AD113" i="39"/>
  <c r="AE113" i="39"/>
  <c r="AF113" i="39"/>
  <c r="AG113" i="39"/>
  <c r="AH113" i="39"/>
  <c r="AI113" i="39"/>
  <c r="AJ113" i="39"/>
  <c r="AA113" i="39"/>
  <c r="AA114" i="39"/>
  <c r="Y66" i="39" l="1"/>
  <c r="Y64" i="39"/>
  <c r="Y65" i="39"/>
  <c r="AA115" i="39"/>
  <c r="Y103" i="39"/>
  <c r="Y86" i="39" l="1"/>
  <c r="Y111" i="39"/>
  <c r="Y85" i="39"/>
  <c r="Y110" i="39"/>
  <c r="BG62" i="39"/>
  <c r="D62" i="39" l="1"/>
  <c r="AV62" i="39" s="1"/>
  <c r="E62" i="39"/>
  <c r="AW62" i="39" s="1"/>
  <c r="F62" i="39"/>
  <c r="AX62" i="39" s="1"/>
  <c r="G62" i="39"/>
  <c r="AY62" i="39" s="1"/>
  <c r="H62" i="39"/>
  <c r="AZ62" i="39" s="1"/>
  <c r="I62" i="39"/>
  <c r="BA62" i="39" s="1"/>
  <c r="J62" i="39"/>
  <c r="BB62" i="39" s="1"/>
  <c r="K62" i="39"/>
  <c r="BC62" i="39" s="1"/>
  <c r="L62" i="39"/>
  <c r="BD62" i="39" s="1"/>
  <c r="M62" i="39"/>
  <c r="BE62" i="39" s="1"/>
  <c r="N62" i="39"/>
  <c r="BF62" i="39" s="1"/>
  <c r="C62" i="39"/>
  <c r="AU62" i="39" s="1"/>
  <c r="O59" i="39"/>
  <c r="AJ73" i="39" l="1"/>
  <c r="AI73" i="39"/>
  <c r="AH73" i="39"/>
  <c r="AG73" i="39"/>
  <c r="AF73" i="39"/>
  <c r="AE73" i="39"/>
  <c r="AD73" i="39"/>
  <c r="AC73" i="39"/>
  <c r="AB73" i="39"/>
  <c r="AA73" i="39"/>
  <c r="Z73" i="39"/>
  <c r="AN56" i="39"/>
  <c r="AM56" i="39"/>
  <c r="AO56" i="39" s="1"/>
  <c r="D5" i="41"/>
  <c r="D65" i="41" s="1"/>
  <c r="E5" i="41" l="1"/>
  <c r="E65" i="41" s="1"/>
  <c r="B20" i="41"/>
  <c r="B19" i="41"/>
  <c r="B18" i="41"/>
  <c r="B17" i="41"/>
  <c r="D18" i="41"/>
  <c r="W7" i="41"/>
  <c r="W6" i="41"/>
  <c r="W5" i="41"/>
  <c r="V4" i="41"/>
  <c r="U4" i="41"/>
  <c r="T4" i="41"/>
  <c r="H10" i="41"/>
  <c r="H11" i="41"/>
  <c r="H12" i="41"/>
  <c r="D50" i="41"/>
  <c r="D34" i="41"/>
  <c r="W22" i="39"/>
  <c r="W41" i="39" s="1"/>
  <c r="W40" i="39"/>
  <c r="W43" i="39"/>
  <c r="W42" i="39"/>
  <c r="F5" i="41" l="1"/>
  <c r="F65" i="41" s="1"/>
  <c r="D26" i="41"/>
  <c r="E18" i="41"/>
  <c r="E26" i="41" s="1"/>
  <c r="E34" i="41"/>
  <c r="N5" i="41"/>
  <c r="N65" i="41" s="1"/>
  <c r="E50" i="41"/>
  <c r="M5" i="41"/>
  <c r="M50" i="41" s="1"/>
  <c r="W4" i="41"/>
  <c r="O5" i="41" l="1"/>
  <c r="O65" i="41" s="1"/>
  <c r="F34" i="41"/>
  <c r="F50" i="41"/>
  <c r="G5" i="41"/>
  <c r="G18" i="41" s="1"/>
  <c r="F18" i="41"/>
  <c r="F26" i="41" s="1"/>
  <c r="M18" i="41"/>
  <c r="M26" i="41" s="1"/>
  <c r="M65" i="41"/>
  <c r="N50" i="41"/>
  <c r="N34" i="41"/>
  <c r="N18" i="41"/>
  <c r="M34" i="41"/>
  <c r="O18" i="41" l="1"/>
  <c r="G50" i="41"/>
  <c r="G65" i="41"/>
  <c r="G34" i="41"/>
  <c r="O50" i="41"/>
  <c r="P5" i="41"/>
  <c r="P50" i="41" s="1"/>
  <c r="O34" i="41"/>
  <c r="N26" i="41"/>
  <c r="O26" i="41"/>
  <c r="P18" i="41" l="1"/>
  <c r="P34" i="41"/>
  <c r="P65" i="41"/>
  <c r="O68" i="39"/>
  <c r="O67" i="39"/>
  <c r="O66" i="39" l="1"/>
  <c r="C60" i="39"/>
  <c r="E60" i="39"/>
  <c r="K60" i="39"/>
  <c r="D60" i="39"/>
  <c r="J60" i="39"/>
  <c r="F60" i="39"/>
  <c r="L60" i="39"/>
  <c r="G60" i="39"/>
  <c r="M60" i="39"/>
  <c r="H60" i="39"/>
  <c r="N60" i="39"/>
  <c r="I60" i="39"/>
  <c r="AK59" i="39" l="1"/>
  <c r="AJ59" i="39"/>
  <c r="AI59" i="39"/>
  <c r="AH59" i="39"/>
  <c r="AG59" i="39"/>
  <c r="AF59" i="39"/>
  <c r="AE59" i="39"/>
  <c r="AD59" i="39"/>
  <c r="AC59" i="39"/>
  <c r="AB59" i="39"/>
  <c r="AA59" i="39"/>
  <c r="Z59" i="39"/>
  <c r="AQ62" i="39"/>
  <c r="AP62" i="39"/>
  <c r="AO62" i="39"/>
  <c r="AN62" i="39"/>
  <c r="AM62" i="39"/>
  <c r="AL62" i="39"/>
  <c r="AQ61" i="39"/>
  <c r="AP61" i="39"/>
  <c r="AO61" i="39"/>
  <c r="AN61" i="39"/>
  <c r="AM61" i="39"/>
  <c r="AL61" i="39"/>
  <c r="AQ60" i="39"/>
  <c r="AP60" i="39"/>
  <c r="AO60" i="39"/>
  <c r="AN60" i="39"/>
  <c r="AM60" i="39"/>
  <c r="AL60" i="39"/>
  <c r="U60" i="39"/>
  <c r="U71" i="39" s="1"/>
  <c r="T60" i="39"/>
  <c r="T71" i="39" s="1"/>
  <c r="S60" i="39"/>
  <c r="S71" i="39" s="1"/>
  <c r="R60" i="39"/>
  <c r="R71" i="39" s="1"/>
  <c r="Q60" i="39"/>
  <c r="P60" i="39"/>
  <c r="BG60" i="39"/>
  <c r="BF60" i="39"/>
  <c r="BE60" i="39"/>
  <c r="BD60" i="39"/>
  <c r="BC60" i="39"/>
  <c r="BB60" i="39"/>
  <c r="BA60" i="39"/>
  <c r="AZ60" i="39"/>
  <c r="AY60" i="39"/>
  <c r="AX60" i="39"/>
  <c r="AW60" i="39"/>
  <c r="AV60" i="39"/>
  <c r="AU60" i="39"/>
  <c r="BF8" i="39"/>
  <c r="BE8" i="39"/>
  <c r="BD8" i="39"/>
  <c r="BC8" i="39"/>
  <c r="BB8" i="39"/>
  <c r="BA8" i="39"/>
  <c r="AZ8" i="39"/>
  <c r="AY8" i="39"/>
  <c r="AX8" i="39"/>
  <c r="AW8" i="39"/>
  <c r="AV8" i="39"/>
  <c r="AU8" i="39"/>
  <c r="BF7" i="39"/>
  <c r="BE7" i="39"/>
  <c r="BD7" i="39"/>
  <c r="BC7" i="39"/>
  <c r="BB7" i="39"/>
  <c r="BA7" i="39"/>
  <c r="AZ7" i="39"/>
  <c r="AY7" i="39"/>
  <c r="AX7" i="39"/>
  <c r="AW7" i="39"/>
  <c r="AV7" i="39"/>
  <c r="AU7" i="39"/>
  <c r="BE6" i="39"/>
  <c r="BD6" i="39"/>
  <c r="BC6" i="39"/>
  <c r="BB6" i="39"/>
  <c r="BA6" i="39"/>
  <c r="AZ6" i="39"/>
  <c r="AY6" i="39"/>
  <c r="AX6" i="39"/>
  <c r="AW6" i="39"/>
  <c r="AV6" i="39"/>
  <c r="AU6" i="39"/>
  <c r="BE5" i="39"/>
  <c r="BD5" i="39"/>
  <c r="BC5" i="39"/>
  <c r="BB5" i="39"/>
  <c r="BA5" i="39"/>
  <c r="AZ5" i="39"/>
  <c r="AY5" i="39"/>
  <c r="AX5" i="39"/>
  <c r="AW5" i="39"/>
  <c r="AV5" i="39"/>
  <c r="AU5" i="39"/>
  <c r="BE4" i="39"/>
  <c r="BD4" i="39"/>
  <c r="BC4" i="39"/>
  <c r="BB4" i="39"/>
  <c r="BA4" i="39"/>
  <c r="AZ4" i="39"/>
  <c r="AY4" i="39"/>
  <c r="AX4" i="39"/>
  <c r="AW4" i="39"/>
  <c r="AV4" i="39"/>
  <c r="AU4" i="39"/>
  <c r="AF83" i="39"/>
  <c r="AJ84" i="39"/>
  <c r="AI84" i="39"/>
  <c r="AH84" i="39"/>
  <c r="AG84" i="39"/>
  <c r="AF84" i="39"/>
  <c r="AE84" i="39"/>
  <c r="AD84" i="39"/>
  <c r="AC84" i="39"/>
  <c r="AB84" i="39"/>
  <c r="AA84" i="39"/>
  <c r="Z84" i="39"/>
  <c r="Y84" i="39"/>
  <c r="AJ83" i="39"/>
  <c r="AI83" i="39"/>
  <c r="AH83" i="39"/>
  <c r="AG83" i="39"/>
  <c r="AE83" i="39"/>
  <c r="AD83" i="39"/>
  <c r="AC83" i="39"/>
  <c r="AB83" i="39"/>
  <c r="AA83" i="39"/>
  <c r="Z83" i="39"/>
  <c r="Y83" i="39"/>
  <c r="AJ82" i="39"/>
  <c r="AI82" i="39"/>
  <c r="AH82" i="39"/>
  <c r="AG82" i="39"/>
  <c r="AF82" i="39"/>
  <c r="AE82" i="39"/>
  <c r="AD82" i="39"/>
  <c r="AC82" i="39"/>
  <c r="AB82" i="39"/>
  <c r="AA82" i="39"/>
  <c r="Z82" i="39"/>
  <c r="Y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AQ79" i="39"/>
  <c r="AP79" i="39"/>
  <c r="AO79" i="39"/>
  <c r="AN79" i="39"/>
  <c r="AM79" i="39"/>
  <c r="AL79" i="39"/>
  <c r="AK79" i="39"/>
  <c r="AK84" i="39" s="1"/>
  <c r="U79" i="39"/>
  <c r="T79" i="39"/>
  <c r="S79" i="39"/>
  <c r="R79" i="39"/>
  <c r="Q79" i="39"/>
  <c r="P79" i="39"/>
  <c r="O79" i="39"/>
  <c r="O82" i="39" s="1"/>
  <c r="AK73" i="39"/>
  <c r="AK72" i="39"/>
  <c r="AJ72" i="39"/>
  <c r="AI72" i="39"/>
  <c r="AH72" i="39"/>
  <c r="AG72" i="39"/>
  <c r="AF72" i="39"/>
  <c r="AE72" i="39"/>
  <c r="AD72" i="39"/>
  <c r="AC72" i="39"/>
  <c r="AB72" i="39"/>
  <c r="AA72" i="39"/>
  <c r="Z72" i="39"/>
  <c r="Y72" i="39"/>
  <c r="AK71" i="39"/>
  <c r="O73" i="39"/>
  <c r="O71" i="39"/>
  <c r="BF6" i="39"/>
  <c r="AB64" i="39" l="1"/>
  <c r="AB65" i="39"/>
  <c r="AJ64" i="39"/>
  <c r="AJ65" i="39"/>
  <c r="AA65" i="39"/>
  <c r="AA111" i="39" s="1"/>
  <c r="AA64" i="39"/>
  <c r="AA110" i="39" s="1"/>
  <c r="AC64" i="39"/>
  <c r="AC110" i="39" s="1"/>
  <c r="AC65" i="39"/>
  <c r="AC111" i="39" s="1"/>
  <c r="Y70" i="39"/>
  <c r="AK64" i="39"/>
  <c r="AK65" i="39"/>
  <c r="AD65" i="39"/>
  <c r="AD111" i="39" s="1"/>
  <c r="AD64" i="39"/>
  <c r="AD110" i="39" s="1"/>
  <c r="AE65" i="39"/>
  <c r="AE111" i="39" s="1"/>
  <c r="AE64" i="39"/>
  <c r="AE110" i="39" s="1"/>
  <c r="AF65" i="39"/>
  <c r="AF111" i="39" s="1"/>
  <c r="AF64" i="39"/>
  <c r="AF110" i="39" s="1"/>
  <c r="AG65" i="39"/>
  <c r="AG64" i="39"/>
  <c r="AG110" i="39" s="1"/>
  <c r="AI65" i="39"/>
  <c r="AI111" i="39" s="1"/>
  <c r="AI64" i="39"/>
  <c r="AI110" i="39" s="1"/>
  <c r="Z65" i="39"/>
  <c r="Z64" i="39"/>
  <c r="AH65" i="39"/>
  <c r="AH111" i="39" s="1"/>
  <c r="AH64" i="39"/>
  <c r="AH110" i="39" s="1"/>
  <c r="AM72" i="39"/>
  <c r="AG70" i="39"/>
  <c r="AP72" i="39"/>
  <c r="AQ72" i="39"/>
  <c r="AK70" i="39"/>
  <c r="P82" i="39"/>
  <c r="AM71" i="39"/>
  <c r="Z81" i="39"/>
  <c r="AF81" i="39"/>
  <c r="AH81" i="39"/>
  <c r="AC70" i="39"/>
  <c r="AO73" i="39"/>
  <c r="AO84" i="39"/>
  <c r="AC81" i="39"/>
  <c r="AF70" i="39"/>
  <c r="AM83" i="39"/>
  <c r="AL73" i="39"/>
  <c r="T82" i="39"/>
  <c r="AP83" i="39"/>
  <c r="AM73" i="39"/>
  <c r="AN73" i="39"/>
  <c r="U82" i="39"/>
  <c r="S82" i="39"/>
  <c r="AN84" i="39"/>
  <c r="AO82" i="39"/>
  <c r="AH70" i="39"/>
  <c r="AK81" i="39"/>
  <c r="AO71" i="39"/>
  <c r="R82" i="39"/>
  <c r="Z70" i="39"/>
  <c r="O84" i="39"/>
  <c r="AQ83" i="39"/>
  <c r="AM82" i="39"/>
  <c r="BK60" i="39"/>
  <c r="O83" i="39"/>
  <c r="AD81" i="39"/>
  <c r="AK82" i="39"/>
  <c r="AL71" i="39"/>
  <c r="AN83" i="39"/>
  <c r="AP84" i="39"/>
  <c r="AA70" i="39"/>
  <c r="AA67" i="39"/>
  <c r="AA68" i="39"/>
  <c r="AA66" i="39"/>
  <c r="AI81" i="39"/>
  <c r="AI67" i="39"/>
  <c r="AI68" i="39"/>
  <c r="AI66" i="39"/>
  <c r="AQ84" i="39"/>
  <c r="AB81" i="39"/>
  <c r="AB67" i="39"/>
  <c r="AB68" i="39"/>
  <c r="AB66" i="39"/>
  <c r="AJ67" i="39"/>
  <c r="AJ68" i="39"/>
  <c r="AJ66" i="39"/>
  <c r="AD70" i="39"/>
  <c r="AN71" i="39"/>
  <c r="AC67" i="39"/>
  <c r="AC68" i="39"/>
  <c r="AC66" i="39"/>
  <c r="AK67" i="39"/>
  <c r="AK66" i="39"/>
  <c r="AK68" i="39"/>
  <c r="AL84" i="39"/>
  <c r="AQ82" i="39"/>
  <c r="AM84" i="39"/>
  <c r="AF67" i="39"/>
  <c r="AF68" i="39"/>
  <c r="AF66" i="39"/>
  <c r="AD67" i="39"/>
  <c r="AD68" i="39"/>
  <c r="AD66" i="39"/>
  <c r="AP71" i="39"/>
  <c r="AE70" i="39"/>
  <c r="AE67" i="39"/>
  <c r="AE68" i="39"/>
  <c r="AE66" i="39"/>
  <c r="AK83" i="39"/>
  <c r="Q82" i="39"/>
  <c r="Y81" i="39"/>
  <c r="Y67" i="39"/>
  <c r="Y68" i="39"/>
  <c r="AG81" i="39"/>
  <c r="AG67" i="39"/>
  <c r="AG68" i="39"/>
  <c r="AG66" i="39"/>
  <c r="Z67" i="39"/>
  <c r="Z68" i="39"/>
  <c r="Z66" i="39"/>
  <c r="AH67" i="39"/>
  <c r="AH68" i="39"/>
  <c r="AH66" i="39"/>
  <c r="AP73" i="39"/>
  <c r="AQ73" i="39"/>
  <c r="AL82" i="39"/>
  <c r="BJ60" i="39"/>
  <c r="AN82" i="39"/>
  <c r="BH60" i="39"/>
  <c r="AL72" i="39"/>
  <c r="AL83" i="39"/>
  <c r="AI70" i="39"/>
  <c r="AQ59" i="39"/>
  <c r="AO83" i="39"/>
  <c r="AJ81" i="39"/>
  <c r="AJ70" i="39"/>
  <c r="AO72" i="39"/>
  <c r="AO59" i="39"/>
  <c r="AN59" i="39"/>
  <c r="AL59" i="39"/>
  <c r="AB70" i="39"/>
  <c r="AA81" i="39"/>
  <c r="AN72" i="39"/>
  <c r="AM59" i="39"/>
  <c r="AE81" i="39"/>
  <c r="AP59" i="39"/>
  <c r="AQ71" i="39"/>
  <c r="BL60" i="39"/>
  <c r="AP82" i="39"/>
  <c r="BM60" i="39"/>
  <c r="Q71" i="39"/>
  <c r="BI60" i="39"/>
  <c r="O72" i="39"/>
  <c r="O81" i="39"/>
  <c r="BG61" i="39"/>
  <c r="O70" i="39"/>
  <c r="BG59" i="39"/>
  <c r="P71" i="39"/>
  <c r="Z110" i="39" l="1"/>
  <c r="AR110" i="39"/>
  <c r="Z111" i="39"/>
  <c r="AR111" i="39"/>
  <c r="AJ86" i="39"/>
  <c r="AK86" i="39"/>
  <c r="AJ85" i="39"/>
  <c r="AG86" i="39"/>
  <c r="AG111" i="39"/>
  <c r="AK85" i="39"/>
  <c r="AB86" i="39"/>
  <c r="AB111" i="39"/>
  <c r="AB85" i="39"/>
  <c r="AB110" i="39"/>
  <c r="AC76" i="39"/>
  <c r="AC86" i="39"/>
  <c r="Z75" i="39"/>
  <c r="Z85" i="39"/>
  <c r="AE75" i="39"/>
  <c r="AE85" i="39"/>
  <c r="AC75" i="39"/>
  <c r="AC85" i="39"/>
  <c r="Z76" i="39"/>
  <c r="Z86" i="39"/>
  <c r="AE76" i="39"/>
  <c r="AE86" i="39"/>
  <c r="AA75" i="39"/>
  <c r="AA85" i="39"/>
  <c r="AI75" i="39"/>
  <c r="AI85" i="39"/>
  <c r="AD75" i="39"/>
  <c r="AD85" i="39"/>
  <c r="AA76" i="39"/>
  <c r="AA86" i="39"/>
  <c r="AF76" i="39"/>
  <c r="AF86" i="39"/>
  <c r="AI76" i="39"/>
  <c r="AI86" i="39"/>
  <c r="AD76" i="39"/>
  <c r="AD86" i="39"/>
  <c r="AG75" i="39"/>
  <c r="AG85" i="39"/>
  <c r="AH76" i="39"/>
  <c r="AH86" i="39"/>
  <c r="AH75" i="39"/>
  <c r="AH85" i="39"/>
  <c r="AF75" i="39"/>
  <c r="AF85" i="39"/>
  <c r="AJ76" i="39"/>
  <c r="AK76" i="39"/>
  <c r="Y76" i="39"/>
  <c r="AJ75" i="39"/>
  <c r="AG76" i="39"/>
  <c r="AK75" i="39"/>
  <c r="Y75" i="39"/>
  <c r="AB76" i="39"/>
  <c r="AB75" i="39"/>
  <c r="AQ65" i="39"/>
  <c r="AQ64" i="39"/>
  <c r="AL65" i="39"/>
  <c r="AL111" i="39" s="1"/>
  <c r="AL64" i="39"/>
  <c r="AL110" i="39" s="1"/>
  <c r="AN64" i="39"/>
  <c r="AN110" i="39" s="1"/>
  <c r="AN65" i="39"/>
  <c r="AN111" i="39" s="1"/>
  <c r="AP65" i="39"/>
  <c r="AP111" i="39" s="1"/>
  <c r="AP64" i="39"/>
  <c r="AP110" i="39" s="1"/>
  <c r="AO65" i="39"/>
  <c r="AO111" i="39" s="1"/>
  <c r="AO64" i="39"/>
  <c r="AO110" i="39" s="1"/>
  <c r="AM65" i="39"/>
  <c r="AM64" i="39"/>
  <c r="AM68" i="39"/>
  <c r="AL70" i="39"/>
  <c r="AN81" i="39"/>
  <c r="AQ70" i="39"/>
  <c r="AP68" i="39"/>
  <c r="AO68" i="39"/>
  <c r="AL66" i="39"/>
  <c r="AQ66" i="39"/>
  <c r="AO70" i="39"/>
  <c r="AO66" i="39"/>
  <c r="AO67" i="39"/>
  <c r="G84" i="39"/>
  <c r="M84" i="39"/>
  <c r="S62" i="39"/>
  <c r="F84" i="39"/>
  <c r="J84" i="39"/>
  <c r="T62" i="39"/>
  <c r="I84" i="39"/>
  <c r="Q62" i="39"/>
  <c r="Q73" i="39" s="1"/>
  <c r="K84" i="39"/>
  <c r="AL68" i="39"/>
  <c r="AP67" i="39"/>
  <c r="AM66" i="39"/>
  <c r="H84" i="39"/>
  <c r="C84" i="39"/>
  <c r="P62" i="39"/>
  <c r="R62" i="39"/>
  <c r="AN68" i="39"/>
  <c r="AN66" i="39"/>
  <c r="N84" i="39"/>
  <c r="AL67" i="39"/>
  <c r="AP66" i="39"/>
  <c r="AM67" i="39"/>
  <c r="U62" i="39"/>
  <c r="L84" i="39"/>
  <c r="AQ67" i="39"/>
  <c r="D84" i="39"/>
  <c r="H61" i="39"/>
  <c r="G61" i="39"/>
  <c r="I61" i="39"/>
  <c r="J61" i="39"/>
  <c r="K61" i="39"/>
  <c r="D61" i="39"/>
  <c r="L61" i="39"/>
  <c r="F61" i="39"/>
  <c r="N61" i="39"/>
  <c r="C61" i="39"/>
  <c r="E61" i="39"/>
  <c r="M61" i="39"/>
  <c r="E84" i="39"/>
  <c r="AQ68" i="39"/>
  <c r="AN67" i="39"/>
  <c r="AO81" i="39"/>
  <c r="AQ81" i="39"/>
  <c r="AN70" i="39"/>
  <c r="AL81" i="39"/>
  <c r="AP81" i="39"/>
  <c r="AP70" i="39"/>
  <c r="AM70" i="39"/>
  <c r="AM81" i="39"/>
  <c r="AN75" i="39" l="1"/>
  <c r="AN85" i="39"/>
  <c r="AM75" i="39"/>
  <c r="AM85" i="39"/>
  <c r="AL75" i="39"/>
  <c r="AL85" i="39"/>
  <c r="AM76" i="39"/>
  <c r="AM86" i="39"/>
  <c r="AL76" i="39"/>
  <c r="AL86" i="39"/>
  <c r="AO75" i="39"/>
  <c r="AO85" i="39"/>
  <c r="AQ75" i="39"/>
  <c r="AQ85" i="39"/>
  <c r="AO76" i="39"/>
  <c r="AO86" i="39"/>
  <c r="AQ76" i="39"/>
  <c r="AQ86" i="39"/>
  <c r="AP75" i="39"/>
  <c r="AP85" i="39"/>
  <c r="AP76" i="39"/>
  <c r="AP86" i="39"/>
  <c r="AN76" i="39"/>
  <c r="AN86" i="39"/>
  <c r="K83" i="39"/>
  <c r="K72" i="39"/>
  <c r="K59" i="39"/>
  <c r="BC61" i="39"/>
  <c r="BJ62" i="39"/>
  <c r="R84" i="39"/>
  <c r="R73" i="39"/>
  <c r="E59" i="39"/>
  <c r="AW61" i="39"/>
  <c r="E83" i="39"/>
  <c r="E72" i="39"/>
  <c r="I83" i="39"/>
  <c r="Q61" i="39"/>
  <c r="BA61" i="39"/>
  <c r="I59" i="39"/>
  <c r="I67" i="39" s="1"/>
  <c r="T61" i="39"/>
  <c r="I72" i="39"/>
  <c r="G59" i="39"/>
  <c r="G67" i="39" s="1"/>
  <c r="G83" i="39"/>
  <c r="AY61" i="39"/>
  <c r="G72" i="39"/>
  <c r="P84" i="39"/>
  <c r="P73" i="39"/>
  <c r="BH62" i="39"/>
  <c r="Q84" i="39"/>
  <c r="BI62" i="39"/>
  <c r="R61" i="39"/>
  <c r="C83" i="39"/>
  <c r="C72" i="39"/>
  <c r="P61" i="39"/>
  <c r="AU61" i="39"/>
  <c r="C59" i="39"/>
  <c r="BF61" i="39"/>
  <c r="N59" i="39"/>
  <c r="N83" i="39"/>
  <c r="N72" i="39"/>
  <c r="H59" i="39"/>
  <c r="H67" i="39" s="1"/>
  <c r="H72" i="39"/>
  <c r="AZ61" i="39"/>
  <c r="H83" i="39"/>
  <c r="U73" i="39"/>
  <c r="U84" i="39"/>
  <c r="BM62" i="39"/>
  <c r="T73" i="39"/>
  <c r="T84" i="39"/>
  <c r="BL62" i="39"/>
  <c r="BE61" i="39"/>
  <c r="M83" i="39"/>
  <c r="M59" i="39"/>
  <c r="M72" i="39"/>
  <c r="S61" i="39"/>
  <c r="AX61" i="39"/>
  <c r="F59" i="39"/>
  <c r="F83" i="39"/>
  <c r="F72" i="39"/>
  <c r="L83" i="39"/>
  <c r="L59" i="39"/>
  <c r="L67" i="39" s="1"/>
  <c r="BD61" i="39"/>
  <c r="U61" i="39"/>
  <c r="L72" i="39"/>
  <c r="S84" i="39"/>
  <c r="BK62" i="39"/>
  <c r="S73" i="39"/>
  <c r="BB61" i="39"/>
  <c r="J83" i="39"/>
  <c r="J59" i="39"/>
  <c r="J72" i="39"/>
  <c r="D83" i="39"/>
  <c r="AV61" i="39"/>
  <c r="D59" i="39"/>
  <c r="D67" i="39" s="1"/>
  <c r="D72" i="39"/>
  <c r="AQ38" i="39"/>
  <c r="AP38" i="39"/>
  <c r="AO38" i="39"/>
  <c r="AN38" i="39"/>
  <c r="AM38" i="39"/>
  <c r="AL38" i="39"/>
  <c r="AK38" i="39"/>
  <c r="U38" i="39"/>
  <c r="T38" i="39"/>
  <c r="S38" i="39"/>
  <c r="R38" i="39"/>
  <c r="Q38" i="39"/>
  <c r="P38" i="39"/>
  <c r="O38" i="39"/>
  <c r="AQ8" i="39"/>
  <c r="AP8" i="39"/>
  <c r="AO8" i="39"/>
  <c r="AN8" i="39"/>
  <c r="AM8" i="39"/>
  <c r="AL8" i="39"/>
  <c r="AP7" i="39"/>
  <c r="AO7" i="39"/>
  <c r="AN7" i="39"/>
  <c r="AL7" i="39"/>
  <c r="AQ6" i="39"/>
  <c r="AP6" i="39"/>
  <c r="AO6" i="39"/>
  <c r="AN6" i="39"/>
  <c r="AM6" i="39"/>
  <c r="AL6" i="39"/>
  <c r="AP5" i="39"/>
  <c r="AO5" i="39"/>
  <c r="AN5" i="39"/>
  <c r="AL5" i="39"/>
  <c r="AP4" i="39"/>
  <c r="AO4" i="39"/>
  <c r="AN4" i="39"/>
  <c r="AL4" i="39"/>
  <c r="U8" i="39"/>
  <c r="T8" i="39"/>
  <c r="S8" i="39"/>
  <c r="R8" i="39"/>
  <c r="Q8" i="39"/>
  <c r="P8" i="39"/>
  <c r="T7" i="39"/>
  <c r="S7" i="39"/>
  <c r="R7" i="39"/>
  <c r="Q7" i="39"/>
  <c r="P7" i="39"/>
  <c r="U6" i="39"/>
  <c r="T6" i="39"/>
  <c r="S6" i="39"/>
  <c r="R6" i="39"/>
  <c r="Q6" i="39"/>
  <c r="P6" i="39"/>
  <c r="T5" i="39"/>
  <c r="S5" i="39"/>
  <c r="R5" i="39"/>
  <c r="P5" i="39"/>
  <c r="T4" i="39"/>
  <c r="S4" i="39"/>
  <c r="R4" i="39"/>
  <c r="P4" i="39"/>
  <c r="AK8" i="39"/>
  <c r="AK7" i="39"/>
  <c r="AK6" i="39"/>
  <c r="O8" i="39"/>
  <c r="O6" i="39"/>
  <c r="AQ7" i="39"/>
  <c r="AM5" i="39"/>
  <c r="U7" i="39"/>
  <c r="N12" i="39"/>
  <c r="Q4" i="39"/>
  <c r="AJ12" i="39"/>
  <c r="AI12" i="39"/>
  <c r="AH12" i="39"/>
  <c r="AG12" i="39"/>
  <c r="AG109" i="39" s="1"/>
  <c r="AF12" i="39"/>
  <c r="AF109" i="39" s="1"/>
  <c r="AE12" i="39"/>
  <c r="AD12" i="39"/>
  <c r="AC12" i="39"/>
  <c r="AC109" i="39" s="1"/>
  <c r="AB12" i="39"/>
  <c r="AA12" i="39"/>
  <c r="Z12" i="39"/>
  <c r="Y12" i="39"/>
  <c r="M12" i="39"/>
  <c r="M43" i="39" s="1"/>
  <c r="L12" i="39"/>
  <c r="L43" i="39" s="1"/>
  <c r="K12" i="39"/>
  <c r="K43" i="39" s="1"/>
  <c r="J12" i="39"/>
  <c r="J43" i="39" s="1"/>
  <c r="I12" i="39"/>
  <c r="H12" i="39"/>
  <c r="H43" i="39" s="1"/>
  <c r="G12" i="39"/>
  <c r="G43" i="39" s="1"/>
  <c r="F12" i="39"/>
  <c r="E12" i="39"/>
  <c r="E43" i="39" s="1"/>
  <c r="D12" i="39"/>
  <c r="D43" i="39" s="1"/>
  <c r="C12" i="39"/>
  <c r="C43" i="39" s="1"/>
  <c r="AI11" i="39"/>
  <c r="AI108" i="39" s="1"/>
  <c r="AH11" i="39"/>
  <c r="AH108" i="39" s="1"/>
  <c r="AG11" i="39"/>
  <c r="AG108" i="39" s="1"/>
  <c r="AF11" i="39"/>
  <c r="AF108" i="39" s="1"/>
  <c r="AE11" i="39"/>
  <c r="AE108" i="39" s="1"/>
  <c r="AD11" i="39"/>
  <c r="AD108" i="39" s="1"/>
  <c r="AC11" i="39"/>
  <c r="AC108" i="39" s="1"/>
  <c r="AB11" i="39"/>
  <c r="AB108" i="39" s="1"/>
  <c r="AA11" i="39"/>
  <c r="AA108" i="39" s="1"/>
  <c r="Z11" i="39"/>
  <c r="Z108" i="39" s="1"/>
  <c r="Y11" i="39"/>
  <c r="Y10" i="39" s="1"/>
  <c r="M11" i="39"/>
  <c r="M42" i="39" s="1"/>
  <c r="L11" i="39"/>
  <c r="L10" i="39" s="1"/>
  <c r="K11" i="39"/>
  <c r="K10" i="39" s="1"/>
  <c r="J11" i="39"/>
  <c r="J10" i="39" s="1"/>
  <c r="I11" i="39"/>
  <c r="H11" i="39"/>
  <c r="H10" i="39" s="1"/>
  <c r="G11" i="39"/>
  <c r="G42" i="39" s="1"/>
  <c r="F11" i="39"/>
  <c r="F42" i="39" s="1"/>
  <c r="E11" i="39"/>
  <c r="E42" i="39" s="1"/>
  <c r="D11" i="39"/>
  <c r="D10" i="39" s="1"/>
  <c r="C11" i="39"/>
  <c r="AI9" i="39"/>
  <c r="AI106" i="39" s="1"/>
  <c r="AH9" i="39"/>
  <c r="AH106" i="39" s="1"/>
  <c r="AG9" i="39"/>
  <c r="AG106" i="39" s="1"/>
  <c r="AF9" i="39"/>
  <c r="AF106" i="39" s="1"/>
  <c r="AE9" i="39"/>
  <c r="AE106" i="39" s="1"/>
  <c r="AD9" i="39"/>
  <c r="AD106" i="39" s="1"/>
  <c r="AC9" i="39"/>
  <c r="AC106" i="39" s="1"/>
  <c r="AB9" i="39"/>
  <c r="AB106" i="39" s="1"/>
  <c r="AA9" i="39"/>
  <c r="AA106" i="39" s="1"/>
  <c r="Z9" i="39"/>
  <c r="M9" i="39"/>
  <c r="L9" i="39"/>
  <c r="K9" i="39"/>
  <c r="J9" i="39"/>
  <c r="I9" i="39"/>
  <c r="H9" i="39"/>
  <c r="G9" i="39"/>
  <c r="F9" i="39"/>
  <c r="E9" i="39"/>
  <c r="D9" i="39"/>
  <c r="D40" i="39" s="1"/>
  <c r="C9" i="39"/>
  <c r="Z106" i="39" l="1"/>
  <c r="C67" i="39"/>
  <c r="AU59" i="39"/>
  <c r="Y43" i="39"/>
  <c r="Y109" i="39"/>
  <c r="AL44" i="39"/>
  <c r="AL45" i="39"/>
  <c r="AN45" i="39"/>
  <c r="AN44" i="39"/>
  <c r="AO44" i="39"/>
  <c r="AO45" i="39"/>
  <c r="AP45" i="39"/>
  <c r="AP44" i="39"/>
  <c r="AR109" i="39"/>
  <c r="Z109" i="39"/>
  <c r="AA109" i="39"/>
  <c r="AB109" i="39"/>
  <c r="AH109" i="39"/>
  <c r="AA100" i="39"/>
  <c r="Y108" i="39"/>
  <c r="AR108" i="39"/>
  <c r="AI109" i="39"/>
  <c r="AE109" i="39"/>
  <c r="AA101" i="39"/>
  <c r="AA102" i="39" s="1"/>
  <c r="AR106" i="39"/>
  <c r="Y106" i="39"/>
  <c r="AD109" i="39"/>
  <c r="AJ109" i="39"/>
  <c r="AG21" i="39"/>
  <c r="AG24" i="39"/>
  <c r="AA23" i="39"/>
  <c r="AC24" i="39"/>
  <c r="AI23" i="39"/>
  <c r="AB21" i="39"/>
  <c r="AD23" i="39"/>
  <c r="AF24" i="39"/>
  <c r="AE21" i="39"/>
  <c r="AG23" i="39"/>
  <c r="AA24" i="39"/>
  <c r="AI24" i="39"/>
  <c r="Z21" i="39"/>
  <c r="AF21" i="39"/>
  <c r="Z23" i="39"/>
  <c r="AH23" i="39"/>
  <c r="AB24" i="39"/>
  <c r="BF12" i="39"/>
  <c r="AJ24" i="39"/>
  <c r="AZ12" i="39"/>
  <c r="AD24" i="39"/>
  <c r="AH21" i="39"/>
  <c r="AA21" i="39"/>
  <c r="AI21" i="39"/>
  <c r="AC23" i="39"/>
  <c r="AE24" i="39"/>
  <c r="AB23" i="39"/>
  <c r="AE23" i="39"/>
  <c r="AY9" i="39"/>
  <c r="AC21" i="39"/>
  <c r="AD21" i="39"/>
  <c r="AF23" i="39"/>
  <c r="AV12" i="39"/>
  <c r="Z24" i="39"/>
  <c r="AH24" i="39"/>
  <c r="BH4" i="39"/>
  <c r="BH6" i="39"/>
  <c r="BA9" i="39"/>
  <c r="BM7" i="39"/>
  <c r="BL5" i="39"/>
  <c r="AQ12" i="39"/>
  <c r="BD12" i="39"/>
  <c r="BA11" i="39"/>
  <c r="S12" i="39"/>
  <c r="S43" i="39" s="1"/>
  <c r="AU12" i="39"/>
  <c r="AG43" i="39"/>
  <c r="BC12" i="39"/>
  <c r="AQ4" i="39"/>
  <c r="BF4" i="39"/>
  <c r="BJ7" i="39"/>
  <c r="BM8" i="39"/>
  <c r="F43" i="39"/>
  <c r="H66" i="39"/>
  <c r="H81" i="39"/>
  <c r="AZ59" i="39"/>
  <c r="H70" i="39"/>
  <c r="H68" i="39"/>
  <c r="BK7" i="39"/>
  <c r="AU11" i="39"/>
  <c r="AG42" i="39"/>
  <c r="BC11" i="39"/>
  <c r="AA43" i="39"/>
  <c r="AW12" i="39"/>
  <c r="AI43" i="39"/>
  <c r="BE12" i="39"/>
  <c r="BJ4" i="39"/>
  <c r="BI6" i="39"/>
  <c r="BL7" i="39"/>
  <c r="M66" i="39"/>
  <c r="M81" i="39"/>
  <c r="BE59" i="39"/>
  <c r="M70" i="39"/>
  <c r="M68" i="39"/>
  <c r="BB9" i="39"/>
  <c r="Z42" i="39"/>
  <c r="AV11" i="39"/>
  <c r="AH42" i="39"/>
  <c r="BD11" i="39"/>
  <c r="T12" i="39"/>
  <c r="T43" i="39" s="1"/>
  <c r="AB43" i="39"/>
  <c r="AX12" i="39"/>
  <c r="BK4" i="39"/>
  <c r="BJ6" i="39"/>
  <c r="BH8" i="39"/>
  <c r="Z43" i="39"/>
  <c r="G66" i="39"/>
  <c r="AY59" i="39"/>
  <c r="G70" i="39"/>
  <c r="G81" i="39"/>
  <c r="G68" i="39"/>
  <c r="AA42" i="39"/>
  <c r="AW11" i="39"/>
  <c r="AI42" i="39"/>
  <c r="BE11" i="39"/>
  <c r="AY12" i="39"/>
  <c r="BL4" i="39"/>
  <c r="BK6" i="39"/>
  <c r="BI8" i="39"/>
  <c r="AC43" i="39"/>
  <c r="BB59" i="39"/>
  <c r="J66" i="39"/>
  <c r="J81" i="39"/>
  <c r="J70" i="39"/>
  <c r="J68" i="39"/>
  <c r="F66" i="39"/>
  <c r="F81" i="39"/>
  <c r="S59" i="39"/>
  <c r="S67" i="39" s="1"/>
  <c r="AX59" i="39"/>
  <c r="F68" i="39"/>
  <c r="F70" i="39"/>
  <c r="M67" i="39"/>
  <c r="N66" i="39"/>
  <c r="N81" i="39"/>
  <c r="BF59" i="39"/>
  <c r="N70" i="39"/>
  <c r="N68" i="39"/>
  <c r="R83" i="39"/>
  <c r="BJ61" i="39"/>
  <c r="R72" i="39"/>
  <c r="T83" i="39"/>
  <c r="BL61" i="39"/>
  <c r="T72" i="39"/>
  <c r="K66" i="39"/>
  <c r="K81" i="39"/>
  <c r="BC59" i="39"/>
  <c r="K70" i="39"/>
  <c r="K68" i="39"/>
  <c r="AV9" i="39"/>
  <c r="BD9" i="39"/>
  <c r="AB42" i="39"/>
  <c r="AX11" i="39"/>
  <c r="U5" i="39"/>
  <c r="BF5" i="39"/>
  <c r="BG6" i="39"/>
  <c r="BH5" i="39"/>
  <c r="BL6" i="39"/>
  <c r="BJ8" i="39"/>
  <c r="AD43" i="39"/>
  <c r="BM61" i="39"/>
  <c r="U72" i="39"/>
  <c r="U83" i="39"/>
  <c r="I81" i="39"/>
  <c r="I66" i="39"/>
  <c r="T59" i="39"/>
  <c r="Q59" i="39"/>
  <c r="Q67" i="39" s="1"/>
  <c r="BA59" i="39"/>
  <c r="I68" i="39"/>
  <c r="I70" i="39"/>
  <c r="E66" i="39"/>
  <c r="E81" i="39"/>
  <c r="AW59" i="39"/>
  <c r="E68" i="39"/>
  <c r="E70" i="39"/>
  <c r="AD40" i="39"/>
  <c r="AZ9" i="39"/>
  <c r="BC9" i="39"/>
  <c r="AW9" i="39"/>
  <c r="BE9" i="39"/>
  <c r="AC42" i="39"/>
  <c r="AY11" i="39"/>
  <c r="AP12" i="39"/>
  <c r="BA12" i="39"/>
  <c r="BJ5" i="39"/>
  <c r="BM6" i="39"/>
  <c r="BK8" i="39"/>
  <c r="S72" i="39"/>
  <c r="S83" i="39"/>
  <c r="BK61" i="39"/>
  <c r="N67" i="39"/>
  <c r="E67" i="39"/>
  <c r="AF42" i="39"/>
  <c r="BB11" i="39"/>
  <c r="P72" i="39"/>
  <c r="P83" i="39"/>
  <c r="BH61" i="39"/>
  <c r="AU9" i="39"/>
  <c r="AX9" i="39"/>
  <c r="AO11" i="39"/>
  <c r="AZ11" i="39"/>
  <c r="AF43" i="39"/>
  <c r="BB12" i="39"/>
  <c r="BG8" i="39"/>
  <c r="BK5" i="39"/>
  <c r="BH7" i="39"/>
  <c r="BL8" i="39"/>
  <c r="D66" i="39"/>
  <c r="D81" i="39"/>
  <c r="AV59" i="39"/>
  <c r="D70" i="39"/>
  <c r="D68" i="39"/>
  <c r="J67" i="39"/>
  <c r="U59" i="39"/>
  <c r="L66" i="39"/>
  <c r="L81" i="39"/>
  <c r="L70" i="39"/>
  <c r="BD59" i="39"/>
  <c r="L68" i="39"/>
  <c r="F67" i="39"/>
  <c r="C81" i="39"/>
  <c r="C66" i="39"/>
  <c r="P59" i="39"/>
  <c r="P67" i="39" s="1"/>
  <c r="C70" i="39"/>
  <c r="R59" i="39"/>
  <c r="R67" i="39" s="1"/>
  <c r="C68" i="39"/>
  <c r="BI61" i="39"/>
  <c r="Q72" i="39"/>
  <c r="Q83" i="39"/>
  <c r="K67" i="39"/>
  <c r="U12" i="39"/>
  <c r="U43" i="39" s="1"/>
  <c r="AK12" i="39"/>
  <c r="AK109" i="39" s="1"/>
  <c r="AM12" i="39"/>
  <c r="AE43" i="39"/>
  <c r="AL12" i="39"/>
  <c r="AP9" i="39"/>
  <c r="AP106" i="39" s="1"/>
  <c r="AL11" i="39"/>
  <c r="AL108" i="39" s="1"/>
  <c r="AN12" i="39"/>
  <c r="I43" i="39"/>
  <c r="AO12" i="39"/>
  <c r="P12" i="39"/>
  <c r="P43" i="39" s="1"/>
  <c r="R12" i="39"/>
  <c r="R43" i="39" s="1"/>
  <c r="AH43" i="39"/>
  <c r="T11" i="39"/>
  <c r="T42" i="39" s="1"/>
  <c r="AK4" i="39"/>
  <c r="Q12" i="39"/>
  <c r="Q43" i="39" s="1"/>
  <c r="AJ43" i="39"/>
  <c r="AM7" i="39"/>
  <c r="BI7" i="39" s="1"/>
  <c r="N43" i="39"/>
  <c r="O12" i="39"/>
  <c r="O7" i="39"/>
  <c r="BG7" i="39" s="1"/>
  <c r="Y113" i="39"/>
  <c r="H42" i="39"/>
  <c r="AF10" i="39"/>
  <c r="AF107" i="39" s="1"/>
  <c r="AN11" i="39"/>
  <c r="AN108" i="39" s="1"/>
  <c r="AG10" i="39"/>
  <c r="AJ11" i="39"/>
  <c r="E10" i="39"/>
  <c r="E13" i="39" s="1"/>
  <c r="J13" i="39"/>
  <c r="F10" i="39"/>
  <c r="F41" i="39" s="1"/>
  <c r="M10" i="39"/>
  <c r="M41" i="39" s="1"/>
  <c r="AM4" i="39"/>
  <c r="BI4" i="39" s="1"/>
  <c r="D13" i="39"/>
  <c r="L13" i="39"/>
  <c r="N11" i="39"/>
  <c r="O11" i="39" s="1"/>
  <c r="K31" i="39" s="1"/>
  <c r="G10" i="39"/>
  <c r="Z10" i="39"/>
  <c r="Z113" i="39" s="1"/>
  <c r="AH10" i="39"/>
  <c r="AH107" i="39" s="1"/>
  <c r="AK5" i="39"/>
  <c r="AP11" i="39"/>
  <c r="AP108" i="39" s="1"/>
  <c r="L40" i="39"/>
  <c r="I42" i="39"/>
  <c r="AD42" i="39"/>
  <c r="AA10" i="39"/>
  <c r="AA107" i="39" s="1"/>
  <c r="AI10" i="39"/>
  <c r="AI107" i="39" s="1"/>
  <c r="O5" i="39"/>
  <c r="AQ5" i="39"/>
  <c r="J42" i="39"/>
  <c r="AE42" i="39"/>
  <c r="I10" i="39"/>
  <c r="AB10" i="39"/>
  <c r="AB107" i="39" s="1"/>
  <c r="P11" i="39"/>
  <c r="C42" i="39"/>
  <c r="K42" i="39"/>
  <c r="AC10" i="39"/>
  <c r="AC107" i="39" s="1"/>
  <c r="Q5" i="39"/>
  <c r="BI5" i="39" s="1"/>
  <c r="D42" i="39"/>
  <c r="L42" i="39"/>
  <c r="Y42" i="39"/>
  <c r="C10" i="39"/>
  <c r="AD10" i="39"/>
  <c r="AD107" i="39" s="1"/>
  <c r="R11" i="39"/>
  <c r="T9" i="39"/>
  <c r="T40" i="39" s="1"/>
  <c r="AE10" i="39"/>
  <c r="AE107" i="39" s="1"/>
  <c r="S11" i="39"/>
  <c r="AL9" i="39"/>
  <c r="AL106" i="39" s="1"/>
  <c r="E40" i="39"/>
  <c r="M40" i="39"/>
  <c r="J41" i="39"/>
  <c r="AE40" i="39"/>
  <c r="H13" i="39"/>
  <c r="U4" i="39"/>
  <c r="F40" i="39"/>
  <c r="K41" i="39"/>
  <c r="AF40" i="39"/>
  <c r="N9" i="39"/>
  <c r="O9" i="39" s="1"/>
  <c r="E29" i="39" s="1"/>
  <c r="O4" i="39"/>
  <c r="P9" i="39"/>
  <c r="AN9" i="39"/>
  <c r="AN106" i="39" s="1"/>
  <c r="G40" i="39"/>
  <c r="D41" i="39"/>
  <c r="L41" i="39"/>
  <c r="Y40" i="39"/>
  <c r="AG40" i="39"/>
  <c r="AO9" i="39"/>
  <c r="AO106" i="39" s="1"/>
  <c r="H40" i="39"/>
  <c r="Z40" i="39"/>
  <c r="AH40" i="39"/>
  <c r="R9" i="39"/>
  <c r="I40" i="39"/>
  <c r="AA40" i="39"/>
  <c r="AI40" i="39"/>
  <c r="S9" i="39"/>
  <c r="J40" i="39"/>
  <c r="AB40" i="39"/>
  <c r="K13" i="39"/>
  <c r="C40" i="39"/>
  <c r="K40" i="39"/>
  <c r="H41" i="39"/>
  <c r="AC40" i="39"/>
  <c r="AJ9" i="39"/>
  <c r="AK9" i="39" s="1"/>
  <c r="BG9" i="39" l="1"/>
  <c r="AJ53" i="39"/>
  <c r="AP40" i="39"/>
  <c r="N10" i="39"/>
  <c r="AK113" i="39"/>
  <c r="AL109" i="39"/>
  <c r="AO109" i="39"/>
  <c r="AG41" i="39"/>
  <c r="AG107" i="39"/>
  <c r="AM109" i="39"/>
  <c r="AN109" i="39"/>
  <c r="AJ21" i="39"/>
  <c r="AJ106" i="39"/>
  <c r="AH53" i="39"/>
  <c r="AQ109" i="39"/>
  <c r="AG50" i="39"/>
  <c r="Z22" i="39"/>
  <c r="Z107" i="39"/>
  <c r="AE50" i="39"/>
  <c r="AQ43" i="39"/>
  <c r="AP109" i="39"/>
  <c r="AO42" i="39"/>
  <c r="AO108" i="39"/>
  <c r="AJ23" i="39"/>
  <c r="AJ108" i="39"/>
  <c r="AC52" i="39"/>
  <c r="Y13" i="39"/>
  <c r="AA99" i="39"/>
  <c r="Y107" i="39"/>
  <c r="AR107" i="39"/>
  <c r="AE52" i="39"/>
  <c r="AD22" i="39"/>
  <c r="BM5" i="39"/>
  <c r="AH22" i="39"/>
  <c r="AE53" i="39"/>
  <c r="AA50" i="39"/>
  <c r="AI50" i="39"/>
  <c r="AI52" i="39"/>
  <c r="AC53" i="39"/>
  <c r="AB52" i="39"/>
  <c r="AA53" i="39"/>
  <c r="AD52" i="39"/>
  <c r="AJ32" i="39"/>
  <c r="AA52" i="39"/>
  <c r="Z53" i="39"/>
  <c r="R10" i="39"/>
  <c r="R41" i="39" s="1"/>
  <c r="AD53" i="39"/>
  <c r="AF50" i="39"/>
  <c r="AH52" i="39"/>
  <c r="AG53" i="39"/>
  <c r="AI22" i="39"/>
  <c r="AA22" i="39"/>
  <c r="AB22" i="39"/>
  <c r="AG22" i="39"/>
  <c r="AF53" i="39"/>
  <c r="AG52" i="39"/>
  <c r="AF52" i="39"/>
  <c r="Z52" i="39"/>
  <c r="AD50" i="39"/>
  <c r="AH50" i="39"/>
  <c r="AB50" i="39"/>
  <c r="Z50" i="39"/>
  <c r="AC50" i="39"/>
  <c r="AB53" i="39"/>
  <c r="AI53" i="39"/>
  <c r="AH41" i="39"/>
  <c r="Q32" i="39"/>
  <c r="AB13" i="39"/>
  <c r="AE22" i="39"/>
  <c r="M13" i="39"/>
  <c r="AC22" i="39"/>
  <c r="BB10" i="39"/>
  <c r="AF22" i="39"/>
  <c r="Y32" i="39"/>
  <c r="AP32" i="39"/>
  <c r="Y41" i="39"/>
  <c r="F13" i="39"/>
  <c r="AN32" i="39"/>
  <c r="AF32" i="39"/>
  <c r="E41" i="39"/>
  <c r="AC32" i="39"/>
  <c r="BG5" i="39"/>
  <c r="AF13" i="39"/>
  <c r="A62" i="39"/>
  <c r="AD32" i="39"/>
  <c r="AI32" i="39"/>
  <c r="BH11" i="39"/>
  <c r="AA32" i="39"/>
  <c r="Q10" i="39"/>
  <c r="Q41" i="39" s="1"/>
  <c r="AQ9" i="39"/>
  <c r="AQ106" i="39" s="1"/>
  <c r="BF9" i="39"/>
  <c r="AC41" i="39"/>
  <c r="AY10" i="39"/>
  <c r="AU10" i="39"/>
  <c r="AL43" i="39"/>
  <c r="BH12" i="39"/>
  <c r="AD13" i="39"/>
  <c r="AZ10" i="39"/>
  <c r="AG32" i="39"/>
  <c r="AM32" i="39"/>
  <c r="AM43" i="39"/>
  <c r="BI12" i="39"/>
  <c r="T81" i="39"/>
  <c r="T66" i="39"/>
  <c r="T70" i="39"/>
  <c r="BL59" i="39"/>
  <c r="T68" i="39"/>
  <c r="S81" i="39"/>
  <c r="S66" i="39"/>
  <c r="BK59" i="39"/>
  <c r="S70" i="39"/>
  <c r="S68" i="39"/>
  <c r="W62" i="39"/>
  <c r="BH9" i="39"/>
  <c r="BL11" i="39"/>
  <c r="AL42" i="39"/>
  <c r="AJ42" i="39"/>
  <c r="BF11" i="39"/>
  <c r="AO43" i="39"/>
  <c r="BK12" i="39"/>
  <c r="AE32" i="39"/>
  <c r="BG12" i="39"/>
  <c r="R81" i="39"/>
  <c r="R66" i="39"/>
  <c r="BJ59" i="39"/>
  <c r="R70" i="39"/>
  <c r="R68" i="39"/>
  <c r="T67" i="39"/>
  <c r="Q81" i="39"/>
  <c r="Q66" i="39"/>
  <c r="BI59" i="39"/>
  <c r="Q70" i="39"/>
  <c r="Q68" i="39"/>
  <c r="AF41" i="39"/>
  <c r="AI41" i="39"/>
  <c r="BE10" i="39"/>
  <c r="AG13" i="39"/>
  <c r="BC10" i="39"/>
  <c r="AH32" i="39"/>
  <c r="AP43" i="39"/>
  <c r="BL12" i="39"/>
  <c r="BJ9" i="39"/>
  <c r="AB41" i="39"/>
  <c r="AX10" i="39"/>
  <c r="AA41" i="39"/>
  <c r="AW10" i="39"/>
  <c r="AH13" i="39"/>
  <c r="BD10" i="39"/>
  <c r="AN42" i="39"/>
  <c r="BJ11" i="39"/>
  <c r="AK43" i="39"/>
  <c r="BG4" i="39"/>
  <c r="AN43" i="39"/>
  <c r="BJ12" i="39"/>
  <c r="P66" i="39"/>
  <c r="BH59" i="39"/>
  <c r="P70" i="39"/>
  <c r="P81" i="39"/>
  <c r="P68" i="39"/>
  <c r="BK11" i="39"/>
  <c r="Z13" i="39"/>
  <c r="AV10" i="39"/>
  <c r="BM4" i="39"/>
  <c r="BM12" i="39"/>
  <c r="BK9" i="39"/>
  <c r="BA10" i="39"/>
  <c r="BL9" i="39"/>
  <c r="U81" i="39"/>
  <c r="U66" i="39"/>
  <c r="U70" i="39"/>
  <c r="BM59" i="39"/>
  <c r="U68" i="39"/>
  <c r="U67" i="39"/>
  <c r="AP10" i="39"/>
  <c r="AE41" i="39"/>
  <c r="AK32" i="39"/>
  <c r="Z32" i="39"/>
  <c r="AL32" i="39"/>
  <c r="AB32" i="39"/>
  <c r="AO32" i="39"/>
  <c r="AQ32" i="39"/>
  <c r="S32" i="39"/>
  <c r="K32" i="39"/>
  <c r="C32" i="39"/>
  <c r="N32" i="39"/>
  <c r="M32" i="39"/>
  <c r="R32" i="39"/>
  <c r="J32" i="39"/>
  <c r="G32" i="39"/>
  <c r="E32" i="39"/>
  <c r="D32" i="39"/>
  <c r="I32" i="39"/>
  <c r="O43" i="39"/>
  <c r="O32" i="39"/>
  <c r="F32" i="39"/>
  <c r="U32" i="39"/>
  <c r="T32" i="39"/>
  <c r="P32" i="39"/>
  <c r="H32" i="39"/>
  <c r="L32" i="39"/>
  <c r="AJ10" i="39"/>
  <c r="AM11" i="39"/>
  <c r="AQ11" i="39"/>
  <c r="AQ108" i="39" s="1"/>
  <c r="Z41" i="39"/>
  <c r="Q9" i="39"/>
  <c r="Q29" i="39" s="1"/>
  <c r="AD41" i="39"/>
  <c r="U9" i="39"/>
  <c r="U40" i="39" s="1"/>
  <c r="AK11" i="39"/>
  <c r="AK108" i="39" s="1"/>
  <c r="AC13" i="39"/>
  <c r="O10" i="39"/>
  <c r="M30" i="39" s="1"/>
  <c r="AN10" i="39"/>
  <c r="AN107" i="39" s="1"/>
  <c r="S42" i="39"/>
  <c r="S31" i="39"/>
  <c r="AO10" i="39"/>
  <c r="AO107" i="39" s="1"/>
  <c r="N42" i="39"/>
  <c r="A61" i="39" s="1"/>
  <c r="N31" i="39"/>
  <c r="O31" i="39"/>
  <c r="I31" i="39"/>
  <c r="O42" i="39"/>
  <c r="H31" i="39"/>
  <c r="F29" i="39"/>
  <c r="T10" i="39"/>
  <c r="I41" i="39"/>
  <c r="C31" i="39"/>
  <c r="P42" i="39"/>
  <c r="P31" i="39"/>
  <c r="M31" i="39"/>
  <c r="T31" i="39"/>
  <c r="H29" i="39"/>
  <c r="AP42" i="39"/>
  <c r="S10" i="39"/>
  <c r="I29" i="39"/>
  <c r="J31" i="39"/>
  <c r="G13" i="39"/>
  <c r="E31" i="39"/>
  <c r="L31" i="39"/>
  <c r="G41" i="39"/>
  <c r="C13" i="39"/>
  <c r="C41" i="39"/>
  <c r="P10" i="39"/>
  <c r="P41" i="39" s="1"/>
  <c r="F31" i="39"/>
  <c r="D31" i="39"/>
  <c r="U11" i="39"/>
  <c r="AI13" i="39"/>
  <c r="R42" i="39"/>
  <c r="R31" i="39"/>
  <c r="AL10" i="39"/>
  <c r="AL107" i="39" s="1"/>
  <c r="AE13" i="39"/>
  <c r="I13" i="39"/>
  <c r="AA13" i="39"/>
  <c r="C29" i="39"/>
  <c r="G31" i="39"/>
  <c r="Q11" i="39"/>
  <c r="K29" i="39"/>
  <c r="AO40" i="39"/>
  <c r="N41" i="39"/>
  <c r="AN40" i="39"/>
  <c r="M29" i="39"/>
  <c r="T29" i="39"/>
  <c r="P29" i="39"/>
  <c r="P40" i="39"/>
  <c r="AJ40" i="39"/>
  <c r="AJ50" i="39" s="1"/>
  <c r="S29" i="39"/>
  <c r="S40" i="39"/>
  <c r="D29" i="39"/>
  <c r="O29" i="39"/>
  <c r="O40" i="39"/>
  <c r="L29" i="39"/>
  <c r="AL40" i="39"/>
  <c r="R29" i="39"/>
  <c r="R40" i="39"/>
  <c r="AK106" i="39"/>
  <c r="G29" i="39"/>
  <c r="N29" i="39"/>
  <c r="N40" i="39"/>
  <c r="AM9" i="39"/>
  <c r="AM106" i="39" s="1"/>
  <c r="U10" i="39"/>
  <c r="J29" i="39"/>
  <c r="N13" i="39"/>
  <c r="AJ107" i="39" l="1"/>
  <c r="U29" i="39"/>
  <c r="G30" i="39"/>
  <c r="AQ40" i="39"/>
  <c r="H30" i="39"/>
  <c r="J30" i="39"/>
  <c r="AM42" i="39"/>
  <c r="AM108" i="39"/>
  <c r="AP13" i="39"/>
  <c r="AP107" i="39"/>
  <c r="AH51" i="39"/>
  <c r="D30" i="39"/>
  <c r="C30" i="39"/>
  <c r="E30" i="39"/>
  <c r="AP41" i="39"/>
  <c r="O30" i="39"/>
  <c r="AF51" i="39"/>
  <c r="AC51" i="39"/>
  <c r="Q30" i="39"/>
  <c r="F30" i="39"/>
  <c r="BJ10" i="39"/>
  <c r="Z51" i="39"/>
  <c r="R13" i="39"/>
  <c r="AA51" i="39"/>
  <c r="AE51" i="39"/>
  <c r="AB51" i="39"/>
  <c r="AI51" i="39"/>
  <c r="AD51" i="39"/>
  <c r="O13" i="39"/>
  <c r="W61" i="39"/>
  <c r="AJ52" i="39"/>
  <c r="R30" i="39"/>
  <c r="I30" i="39"/>
  <c r="N30" i="39"/>
  <c r="AG51" i="39"/>
  <c r="F7" i="41"/>
  <c r="F67" i="41" s="1"/>
  <c r="D7" i="41"/>
  <c r="D67" i="41" s="1"/>
  <c r="E7" i="41"/>
  <c r="E67" i="41" s="1"/>
  <c r="AM10" i="39"/>
  <c r="AJ22" i="39"/>
  <c r="BL10" i="39"/>
  <c r="BI11" i="39"/>
  <c r="AQ42" i="39"/>
  <c r="BM11" i="39"/>
  <c r="BI9" i="39"/>
  <c r="P13" i="39"/>
  <c r="AN41" i="39"/>
  <c r="AL41" i="39"/>
  <c r="BH10" i="39"/>
  <c r="AJ41" i="39"/>
  <c r="AJ51" i="39" s="1"/>
  <c r="BF10" i="39"/>
  <c r="AN29" i="39"/>
  <c r="P30" i="39"/>
  <c r="AN13" i="39"/>
  <c r="AN31" i="39"/>
  <c r="BG11" i="39"/>
  <c r="BM9" i="39"/>
  <c r="AO13" i="39"/>
  <c r="BK10" i="39"/>
  <c r="Q40" i="39"/>
  <c r="L30" i="39"/>
  <c r="K30" i="39"/>
  <c r="AJ13" i="39"/>
  <c r="AQ10" i="39"/>
  <c r="AQ107" i="39" s="1"/>
  <c r="AK10" i="39"/>
  <c r="O41" i="39"/>
  <c r="Q13" i="39"/>
  <c r="AF31" i="39"/>
  <c r="Z31" i="39"/>
  <c r="AI31" i="39"/>
  <c r="AJ31" i="39"/>
  <c r="AM31" i="39"/>
  <c r="AK42" i="39"/>
  <c r="AC31" i="39"/>
  <c r="AE31" i="39"/>
  <c r="AD31" i="39"/>
  <c r="AO31" i="39"/>
  <c r="AH31" i="39"/>
  <c r="AB31" i="39"/>
  <c r="AA31" i="39"/>
  <c r="AK31" i="39"/>
  <c r="AL31" i="39"/>
  <c r="AQ31" i="39"/>
  <c r="Y31" i="39"/>
  <c r="AG31" i="39"/>
  <c r="AP31" i="39"/>
  <c r="AQ29" i="39"/>
  <c r="U42" i="39"/>
  <c r="U31" i="39"/>
  <c r="T30" i="39"/>
  <c r="T41" i="39"/>
  <c r="T13" i="39"/>
  <c r="S13" i="39"/>
  <c r="S41" i="39"/>
  <c r="Q31" i="39"/>
  <c r="Q42" i="39"/>
  <c r="AO41" i="39"/>
  <c r="S30" i="39"/>
  <c r="AL13" i="39"/>
  <c r="AK29" i="39"/>
  <c r="AK40" i="39"/>
  <c r="AD29" i="39"/>
  <c r="AA29" i="39"/>
  <c r="AC29" i="39"/>
  <c r="AI29" i="39"/>
  <c r="AF29" i="39"/>
  <c r="Z29" i="39"/>
  <c r="AE29" i="39"/>
  <c r="Y29" i="39"/>
  <c r="AB29" i="39"/>
  <c r="AP29" i="39"/>
  <c r="AG29" i="39"/>
  <c r="AH29" i="39"/>
  <c r="AL29" i="39"/>
  <c r="U30" i="39"/>
  <c r="U41" i="39"/>
  <c r="U13" i="39"/>
  <c r="AM29" i="39"/>
  <c r="AM40" i="39"/>
  <c r="AJ29" i="39"/>
  <c r="AO29" i="39"/>
  <c r="AJ45" i="39" l="1"/>
  <c r="AJ111" i="39"/>
  <c r="AJ44" i="39"/>
  <c r="AJ110" i="39"/>
  <c r="AK111" i="39"/>
  <c r="AQ111" i="39"/>
  <c r="AM110" i="39"/>
  <c r="AQ110" i="39"/>
  <c r="AN30" i="39"/>
  <c r="AK107" i="39"/>
  <c r="AM13" i="39"/>
  <c r="AM107" i="39"/>
  <c r="E6" i="41"/>
  <c r="E66" i="41" s="1"/>
  <c r="F6" i="41"/>
  <c r="F66" i="41" s="1"/>
  <c r="D6" i="41"/>
  <c r="D66" i="41" s="1"/>
  <c r="BI10" i="39"/>
  <c r="N7" i="41"/>
  <c r="N67" i="41" s="1"/>
  <c r="E20" i="41"/>
  <c r="E52" i="41"/>
  <c r="E36" i="41"/>
  <c r="D52" i="41"/>
  <c r="G7" i="41"/>
  <c r="G67" i="41" s="1"/>
  <c r="D36" i="41"/>
  <c r="M7" i="41"/>
  <c r="M67" i="41" s="1"/>
  <c r="D20" i="41"/>
  <c r="D28" i="41" s="1"/>
  <c r="F52" i="41"/>
  <c r="O7" i="41"/>
  <c r="O67" i="41" s="1"/>
  <c r="F20" i="41"/>
  <c r="F36" i="41"/>
  <c r="AM30" i="39"/>
  <c r="AM41" i="39"/>
  <c r="AK41" i="39"/>
  <c r="BG10" i="39"/>
  <c r="AQ13" i="39"/>
  <c r="BM10" i="39"/>
  <c r="AH30" i="39"/>
  <c r="AD30" i="39"/>
  <c r="AC30" i="39"/>
  <c r="AL30" i="39"/>
  <c r="AK13" i="39"/>
  <c r="AA30" i="39"/>
  <c r="AG30" i="39"/>
  <c r="Y30" i="39"/>
  <c r="AP30" i="39"/>
  <c r="AK30" i="39"/>
  <c r="AE30" i="39"/>
  <c r="AQ41" i="39"/>
  <c r="AO30" i="39"/>
  <c r="AF30" i="39"/>
  <c r="AJ30" i="39"/>
  <c r="AQ30" i="39"/>
  <c r="Z30" i="39"/>
  <c r="AB30" i="39"/>
  <c r="AI30" i="39"/>
  <c r="AM45" i="39" l="1"/>
  <c r="AM111" i="39"/>
  <c r="AK44" i="39"/>
  <c r="AK110" i="39"/>
  <c r="AQ33" i="39"/>
  <c r="AQ44" i="39"/>
  <c r="AJ33" i="39"/>
  <c r="AQ34" i="39"/>
  <c r="AQ45" i="39"/>
  <c r="AM33" i="39"/>
  <c r="AM44" i="39"/>
  <c r="AJ34" i="39"/>
  <c r="AK45" i="39"/>
  <c r="AK33" i="39"/>
  <c r="AC33" i="39"/>
  <c r="Z33" i="39"/>
  <c r="AF33" i="39"/>
  <c r="AB33" i="39"/>
  <c r="AE33" i="39"/>
  <c r="AD33" i="39"/>
  <c r="AI33" i="39"/>
  <c r="AA33" i="39"/>
  <c r="AG33" i="39"/>
  <c r="AH33" i="39"/>
  <c r="Y33" i="39"/>
  <c r="AO33" i="39"/>
  <c r="AL33" i="39"/>
  <c r="AP33" i="39"/>
  <c r="AN33" i="39"/>
  <c r="AM34" i="39"/>
  <c r="AI34" i="39"/>
  <c r="AA34" i="39"/>
  <c r="AE34" i="39"/>
  <c r="AD34" i="39"/>
  <c r="AB34" i="39"/>
  <c r="AH34" i="39"/>
  <c r="Z34" i="39"/>
  <c r="AG34" i="39"/>
  <c r="AC34" i="39"/>
  <c r="AF34" i="39"/>
  <c r="Y34" i="39"/>
  <c r="AK34" i="39"/>
  <c r="AL34" i="39"/>
  <c r="AP34" i="39"/>
  <c r="AN34" i="39"/>
  <c r="AO34" i="39"/>
  <c r="D4" i="41"/>
  <c r="D64" i="41" s="1"/>
  <c r="F4" i="41"/>
  <c r="F64" i="41" s="1"/>
  <c r="E4" i="41"/>
  <c r="E10" i="41" s="1"/>
  <c r="E28" i="41"/>
  <c r="D35" i="41"/>
  <c r="G6" i="41"/>
  <c r="G66" i="41" s="1"/>
  <c r="D51" i="41"/>
  <c r="M6" i="41"/>
  <c r="M66" i="41" s="1"/>
  <c r="D19" i="41"/>
  <c r="D27" i="41" s="1"/>
  <c r="F28" i="41"/>
  <c r="O6" i="41"/>
  <c r="O66" i="41" s="1"/>
  <c r="F19" i="41"/>
  <c r="F51" i="41"/>
  <c r="F35" i="41"/>
  <c r="N6" i="41"/>
  <c r="N66" i="41" s="1"/>
  <c r="E19" i="41"/>
  <c r="E35" i="41"/>
  <c r="E51" i="41"/>
  <c r="O52" i="41"/>
  <c r="O20" i="41"/>
  <c r="O36" i="41"/>
  <c r="M20" i="41"/>
  <c r="M28" i="41" s="1"/>
  <c r="M52" i="41"/>
  <c r="M36" i="41"/>
  <c r="P7" i="41"/>
  <c r="P67" i="41" s="1"/>
  <c r="G20" i="41"/>
  <c r="G52" i="41"/>
  <c r="G36" i="41"/>
  <c r="N36" i="41"/>
  <c r="N20" i="41"/>
  <c r="N52" i="41"/>
  <c r="F49" i="41" l="1"/>
  <c r="D11" i="41"/>
  <c r="D33" i="41"/>
  <c r="D10" i="41"/>
  <c r="D12" i="41"/>
  <c r="D17" i="41"/>
  <c r="D25" i="41" s="1"/>
  <c r="F12" i="41"/>
  <c r="D49" i="41"/>
  <c r="E12" i="41"/>
  <c r="E11" i="41"/>
  <c r="E17" i="41"/>
  <c r="E64" i="41"/>
  <c r="E33" i="41"/>
  <c r="E49" i="41"/>
  <c r="F11" i="41"/>
  <c r="F17" i="41"/>
  <c r="F10" i="41"/>
  <c r="F33" i="41"/>
  <c r="N28" i="41"/>
  <c r="M4" i="41"/>
  <c r="M64" i="41" s="1"/>
  <c r="G4" i="41"/>
  <c r="G64" i="41" s="1"/>
  <c r="N4" i="41"/>
  <c r="N49" i="41" s="1"/>
  <c r="O35" i="41"/>
  <c r="O51" i="41"/>
  <c r="O19" i="41"/>
  <c r="F27" i="41"/>
  <c r="E27" i="41"/>
  <c r="M35" i="41"/>
  <c r="P6" i="41"/>
  <c r="P66" i="41" s="1"/>
  <c r="M51" i="41"/>
  <c r="M19" i="41"/>
  <c r="M27" i="41" s="1"/>
  <c r="N19" i="41"/>
  <c r="N51" i="41"/>
  <c r="N35" i="41"/>
  <c r="O4" i="41"/>
  <c r="G35" i="41"/>
  <c r="G51" i="41"/>
  <c r="G19" i="41"/>
  <c r="O28" i="41"/>
  <c r="P36" i="41"/>
  <c r="P20" i="41"/>
  <c r="P52" i="41"/>
  <c r="E25" i="41" l="1"/>
  <c r="F25" i="41"/>
  <c r="G12" i="41"/>
  <c r="M17" i="41"/>
  <c r="M25" i="41" s="1"/>
  <c r="G17" i="41"/>
  <c r="M12" i="41"/>
  <c r="N11" i="41"/>
  <c r="N33" i="41"/>
  <c r="N10" i="41"/>
  <c r="M10" i="41"/>
  <c r="M49" i="41"/>
  <c r="M33" i="41"/>
  <c r="N17" i="41"/>
  <c r="M11" i="41"/>
  <c r="O12" i="41"/>
  <c r="O64" i="41"/>
  <c r="O49" i="41"/>
  <c r="G10" i="41"/>
  <c r="G33" i="41"/>
  <c r="G49" i="41"/>
  <c r="G11" i="41"/>
  <c r="N12" i="41"/>
  <c r="N64" i="41"/>
  <c r="O10" i="41"/>
  <c r="O17" i="41"/>
  <c r="P35" i="41"/>
  <c r="P19" i="41"/>
  <c r="P51" i="41"/>
  <c r="P4" i="41"/>
  <c r="O11" i="41"/>
  <c r="O27" i="41"/>
  <c r="N27" i="41"/>
  <c r="O33" i="41"/>
  <c r="N25" i="41" l="1"/>
  <c r="O25" i="41"/>
  <c r="P12" i="41"/>
  <c r="P64" i="41"/>
  <c r="P17" i="41"/>
  <c r="P10" i="41"/>
  <c r="P49" i="41"/>
  <c r="P11" i="41"/>
  <c r="P33" i="41"/>
  <c r="AK20" i="26" l="1"/>
  <c r="AK10" i="26"/>
  <c r="AR4" i="26" l="1"/>
  <c r="AR5" i="26"/>
  <c r="AR6" i="26"/>
  <c r="AR7" i="26"/>
  <c r="AR8" i="26"/>
  <c r="AR3" i="26"/>
  <c r="AD13" i="26" l="1"/>
  <c r="AC13" i="26"/>
  <c r="Z19" i="26" l="1"/>
  <c r="AA19" i="26"/>
  <c r="AB19" i="26"/>
  <c r="AC19" i="26"/>
  <c r="AD19" i="26"/>
  <c r="AE19" i="26"/>
  <c r="AF19" i="26"/>
  <c r="AG19" i="26"/>
  <c r="AH19" i="26"/>
  <c r="AI19" i="26"/>
  <c r="AJ19" i="26"/>
  <c r="Y1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Y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BF15" i="26"/>
  <c r="BE15" i="26"/>
  <c r="BD15" i="26"/>
  <c r="BC15" i="26"/>
  <c r="BB15" i="26"/>
  <c r="BA15" i="26"/>
  <c r="AZ15" i="26"/>
  <c r="AY15" i="26"/>
  <c r="AX15" i="26"/>
  <c r="AW15" i="26"/>
  <c r="AV15" i="26"/>
  <c r="AU15" i="26"/>
  <c r="BF14" i="26"/>
  <c r="BE14" i="26"/>
  <c r="BD14" i="26"/>
  <c r="BC14" i="26"/>
  <c r="BB14" i="26"/>
  <c r="BA14" i="26"/>
  <c r="AZ14" i="26"/>
  <c r="AY14" i="26"/>
  <c r="AX14" i="26"/>
  <c r="AW14" i="26"/>
  <c r="AV14" i="26"/>
  <c r="AU14" i="26"/>
  <c r="AJ13" i="26"/>
  <c r="AJ23" i="26" s="1"/>
  <c r="AI13" i="26"/>
  <c r="AI23" i="26" s="1"/>
  <c r="AH13" i="26"/>
  <c r="AH23" i="26" s="1"/>
  <c r="AG13" i="26"/>
  <c r="AF13" i="26"/>
  <c r="AF23" i="26" s="1"/>
  <c r="AE13" i="26"/>
  <c r="AE23" i="26" s="1"/>
  <c r="AD23" i="26"/>
  <c r="AB13" i="26"/>
  <c r="AB23" i="26" s="1"/>
  <c r="AA13" i="26"/>
  <c r="AA23" i="26" s="1"/>
  <c r="Z13" i="26"/>
  <c r="Z23" i="26" s="1"/>
  <c r="Y13" i="26"/>
  <c r="Y23" i="26" s="1"/>
  <c r="N13" i="26"/>
  <c r="M13" i="26"/>
  <c r="M23" i="26" s="1"/>
  <c r="L13" i="26"/>
  <c r="L23" i="26" s="1"/>
  <c r="K13" i="26"/>
  <c r="K23" i="26" s="1"/>
  <c r="J13" i="26"/>
  <c r="J23" i="26" s="1"/>
  <c r="I13" i="26"/>
  <c r="H13" i="26"/>
  <c r="H23" i="26" s="1"/>
  <c r="G13" i="26"/>
  <c r="F13" i="26"/>
  <c r="F23" i="26" s="1"/>
  <c r="E13" i="26"/>
  <c r="E23" i="26" s="1"/>
  <c r="D13" i="26"/>
  <c r="C13" i="26"/>
  <c r="AK18" i="26"/>
  <c r="AR18" i="26" s="1"/>
  <c r="AK17" i="26"/>
  <c r="AR17" i="26" s="1"/>
  <c r="AK16" i="26"/>
  <c r="AR16" i="26" s="1"/>
  <c r="AK15" i="26"/>
  <c r="AR15" i="26" s="1"/>
  <c r="AK14" i="26"/>
  <c r="AR14" i="26" s="1"/>
  <c r="O18" i="26"/>
  <c r="O17" i="26"/>
  <c r="O16" i="26"/>
  <c r="O26" i="26" s="1"/>
  <c r="O15" i="26"/>
  <c r="O25" i="26" s="1"/>
  <c r="O14" i="26"/>
  <c r="O24" i="26" s="1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AJ26" i="26"/>
  <c r="AI26" i="26"/>
  <c r="AH26" i="26"/>
  <c r="AG26" i="26"/>
  <c r="AF26" i="26"/>
  <c r="AE26" i="26"/>
  <c r="AD26" i="26"/>
  <c r="AC26" i="26"/>
  <c r="AB26" i="26"/>
  <c r="AA26" i="26"/>
  <c r="Z26" i="26"/>
  <c r="Y26" i="26"/>
  <c r="AJ25" i="26"/>
  <c r="AI25" i="26"/>
  <c r="AH25" i="26"/>
  <c r="AG25" i="26"/>
  <c r="AF25" i="26"/>
  <c r="AE25" i="26"/>
  <c r="AD25" i="26"/>
  <c r="AC25" i="26"/>
  <c r="AB25" i="26"/>
  <c r="AA25" i="26"/>
  <c r="Z25" i="26"/>
  <c r="Y25" i="26"/>
  <c r="AJ24" i="26"/>
  <c r="AI24" i="26"/>
  <c r="AH24" i="26"/>
  <c r="AG24" i="26"/>
  <c r="AF24" i="26"/>
  <c r="AE24" i="26"/>
  <c r="AD24" i="26"/>
  <c r="AC24" i="26"/>
  <c r="AB24" i="26"/>
  <c r="AA24" i="26"/>
  <c r="Z24" i="26"/>
  <c r="Y24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N25" i="26"/>
  <c r="M25" i="26"/>
  <c r="L25" i="26"/>
  <c r="K25" i="26"/>
  <c r="J25" i="26"/>
  <c r="I25" i="26"/>
  <c r="H25" i="26"/>
  <c r="G25" i="26"/>
  <c r="F25" i="26"/>
  <c r="E25" i="26"/>
  <c r="D25" i="26"/>
  <c r="C25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AQ18" i="26"/>
  <c r="AP18" i="26"/>
  <c r="AO18" i="26"/>
  <c r="AN18" i="26"/>
  <c r="AM18" i="26"/>
  <c r="AL18" i="26"/>
  <c r="AQ17" i="26"/>
  <c r="AP17" i="26"/>
  <c r="AO17" i="26"/>
  <c r="AN17" i="26"/>
  <c r="AM17" i="26"/>
  <c r="AL17" i="26"/>
  <c r="AQ16" i="26"/>
  <c r="AP16" i="26"/>
  <c r="AO16" i="26"/>
  <c r="AN16" i="26"/>
  <c r="AM16" i="26"/>
  <c r="AL16" i="26"/>
  <c r="AQ15" i="26"/>
  <c r="AP15" i="26"/>
  <c r="AO15" i="26"/>
  <c r="AN15" i="26"/>
  <c r="AM15" i="26"/>
  <c r="AL15" i="26"/>
  <c r="AQ14" i="26"/>
  <c r="AP14" i="26"/>
  <c r="AO14" i="26"/>
  <c r="AN14" i="26"/>
  <c r="AM14" i="26"/>
  <c r="AL14" i="26"/>
  <c r="U18" i="26"/>
  <c r="T18" i="26"/>
  <c r="S18" i="26"/>
  <c r="R18" i="26"/>
  <c r="Q18" i="26"/>
  <c r="P18" i="26"/>
  <c r="U17" i="26"/>
  <c r="T17" i="26"/>
  <c r="S17" i="26"/>
  <c r="R17" i="26"/>
  <c r="Q17" i="26"/>
  <c r="P17" i="26"/>
  <c r="U16" i="26"/>
  <c r="T16" i="26"/>
  <c r="S16" i="26"/>
  <c r="R16" i="26"/>
  <c r="Q16" i="26"/>
  <c r="P16" i="26"/>
  <c r="U15" i="26"/>
  <c r="T15" i="26"/>
  <c r="S15" i="26"/>
  <c r="R15" i="26"/>
  <c r="Q15" i="26"/>
  <c r="P15" i="26"/>
  <c r="U14" i="26"/>
  <c r="T14" i="26"/>
  <c r="S14" i="26"/>
  <c r="R14" i="26"/>
  <c r="Q14" i="26"/>
  <c r="P14" i="26"/>
  <c r="BG8" i="26"/>
  <c r="BF8" i="26"/>
  <c r="BE8" i="26"/>
  <c r="BD8" i="26"/>
  <c r="BC8" i="26"/>
  <c r="BB8" i="26"/>
  <c r="BA8" i="26"/>
  <c r="AZ8" i="26"/>
  <c r="AY8" i="26"/>
  <c r="AX8" i="26"/>
  <c r="AW8" i="26"/>
  <c r="AV8" i="26"/>
  <c r="AU8" i="26"/>
  <c r="BG7" i="26"/>
  <c r="BF7" i="26"/>
  <c r="BE7" i="26"/>
  <c r="BD7" i="26"/>
  <c r="BC7" i="26"/>
  <c r="BB7" i="26"/>
  <c r="BA7" i="26"/>
  <c r="AZ7" i="26"/>
  <c r="AY7" i="26"/>
  <c r="AX7" i="26"/>
  <c r="AW7" i="26"/>
  <c r="AV7" i="26"/>
  <c r="AU7" i="26"/>
  <c r="BG6" i="26"/>
  <c r="BF6" i="26"/>
  <c r="BE6" i="26"/>
  <c r="BD6" i="26"/>
  <c r="BC6" i="26"/>
  <c r="BB6" i="26"/>
  <c r="BA6" i="26"/>
  <c r="AZ6" i="26"/>
  <c r="AY6" i="26"/>
  <c r="AX6" i="26"/>
  <c r="AW6" i="26"/>
  <c r="AV6" i="26"/>
  <c r="AU6" i="26"/>
  <c r="BG5" i="26"/>
  <c r="BF5" i="26"/>
  <c r="BE5" i="26"/>
  <c r="BD5" i="26"/>
  <c r="BC5" i="26"/>
  <c r="BB5" i="26"/>
  <c r="BA5" i="26"/>
  <c r="AZ5" i="26"/>
  <c r="AY5" i="26"/>
  <c r="AX5" i="26"/>
  <c r="AW5" i="26"/>
  <c r="AV5" i="26"/>
  <c r="AU5" i="26"/>
  <c r="BG4" i="26"/>
  <c r="BF4" i="26"/>
  <c r="BE4" i="26"/>
  <c r="BD4" i="26"/>
  <c r="BC4" i="26"/>
  <c r="BB4" i="26"/>
  <c r="BA4" i="26"/>
  <c r="AZ4" i="26"/>
  <c r="AY4" i="26"/>
  <c r="AX4" i="26"/>
  <c r="AW4" i="26"/>
  <c r="AV4" i="26"/>
  <c r="AU4" i="26"/>
  <c r="BG3" i="26"/>
  <c r="BF3" i="26"/>
  <c r="BE3" i="26"/>
  <c r="BD3" i="26"/>
  <c r="BC3" i="26"/>
  <c r="BB3" i="26"/>
  <c r="BA3" i="26"/>
  <c r="AZ3" i="26"/>
  <c r="AY3" i="26"/>
  <c r="AX3" i="26"/>
  <c r="AW3" i="26"/>
  <c r="AV3" i="26"/>
  <c r="AU3" i="26"/>
  <c r="AQ8" i="26"/>
  <c r="AP8" i="26"/>
  <c r="AO8" i="26"/>
  <c r="AN8" i="26"/>
  <c r="AM8" i="26"/>
  <c r="AL8" i="26"/>
  <c r="AQ7" i="26"/>
  <c r="AP7" i="26"/>
  <c r="AO7" i="26"/>
  <c r="AN7" i="26"/>
  <c r="AM7" i="26"/>
  <c r="AL7" i="26"/>
  <c r="AQ6" i="26"/>
  <c r="AP6" i="26"/>
  <c r="AO6" i="26"/>
  <c r="AN6" i="26"/>
  <c r="AM6" i="26"/>
  <c r="AL6" i="26"/>
  <c r="AQ5" i="26"/>
  <c r="AP5" i="26"/>
  <c r="AO5" i="26"/>
  <c r="AN5" i="26"/>
  <c r="AM5" i="26"/>
  <c r="AL5" i="26"/>
  <c r="AQ4" i="26"/>
  <c r="AP4" i="26"/>
  <c r="AO4" i="26"/>
  <c r="AN4" i="26"/>
  <c r="AM4" i="26"/>
  <c r="AL4" i="26"/>
  <c r="AQ3" i="26"/>
  <c r="AP3" i="26"/>
  <c r="AO3" i="26"/>
  <c r="AN3" i="26"/>
  <c r="AM3" i="26"/>
  <c r="AL3" i="26"/>
  <c r="U8" i="26"/>
  <c r="T8" i="26"/>
  <c r="S8" i="26"/>
  <c r="R8" i="26"/>
  <c r="Q8" i="26"/>
  <c r="P8" i="26"/>
  <c r="U7" i="26"/>
  <c r="T7" i="26"/>
  <c r="S7" i="26"/>
  <c r="R7" i="26"/>
  <c r="Q7" i="26"/>
  <c r="P7" i="26"/>
  <c r="U6" i="26"/>
  <c r="T6" i="26"/>
  <c r="S6" i="26"/>
  <c r="R6" i="26"/>
  <c r="Q6" i="26"/>
  <c r="P6" i="26"/>
  <c r="U5" i="26"/>
  <c r="T5" i="26"/>
  <c r="S5" i="26"/>
  <c r="R5" i="26"/>
  <c r="Q5" i="26"/>
  <c r="P5" i="26"/>
  <c r="U4" i="26"/>
  <c r="T4" i="26"/>
  <c r="S4" i="26"/>
  <c r="R4" i="26"/>
  <c r="Q4" i="26"/>
  <c r="P4" i="26"/>
  <c r="U3" i="26"/>
  <c r="T3" i="26"/>
  <c r="S3" i="26"/>
  <c r="R3" i="26"/>
  <c r="Q3" i="26"/>
  <c r="P3" i="26"/>
  <c r="AR9" i="26" l="1"/>
  <c r="BK4" i="26"/>
  <c r="BM5" i="26"/>
  <c r="BK8" i="26"/>
  <c r="BJ16" i="26"/>
  <c r="AV13" i="26"/>
  <c r="AP27" i="26"/>
  <c r="AM25" i="26"/>
  <c r="BI17" i="26"/>
  <c r="BI15" i="26"/>
  <c r="AK25" i="26"/>
  <c r="AM19" i="26"/>
  <c r="AK26" i="26"/>
  <c r="AK27" i="26"/>
  <c r="AK28" i="26"/>
  <c r="BH7" i="26"/>
  <c r="BH8" i="26"/>
  <c r="AM9" i="26"/>
  <c r="BK3" i="26"/>
  <c r="BK7" i="26"/>
  <c r="BM8" i="26"/>
  <c r="U13" i="26"/>
  <c r="BJ5" i="26"/>
  <c r="BH4" i="26"/>
  <c r="AM26" i="26"/>
  <c r="BJ17" i="26"/>
  <c r="BL18" i="26"/>
  <c r="AO9" i="26"/>
  <c r="BB13" i="26"/>
  <c r="BK5" i="26"/>
  <c r="AP28" i="26"/>
  <c r="AM27" i="26"/>
  <c r="BJ3" i="26"/>
  <c r="AP9" i="26"/>
  <c r="BJ7" i="26"/>
  <c r="BL8" i="26"/>
  <c r="U24" i="26"/>
  <c r="Q26" i="26"/>
  <c r="U28" i="26"/>
  <c r="U26" i="26"/>
  <c r="Q28" i="26"/>
  <c r="T27" i="26"/>
  <c r="Q13" i="26"/>
  <c r="Q23" i="26" s="1"/>
  <c r="AQ13" i="26"/>
  <c r="AQ23" i="26" s="1"/>
  <c r="BJ4" i="26"/>
  <c r="BJ6" i="26"/>
  <c r="BJ8" i="26"/>
  <c r="AN24" i="26"/>
  <c r="AN27" i="26"/>
  <c r="AN28" i="26"/>
  <c r="AZ13" i="26"/>
  <c r="S28" i="26"/>
  <c r="AO25" i="26"/>
  <c r="AO27" i="26"/>
  <c r="BL5" i="26"/>
  <c r="BL6" i="26"/>
  <c r="T24" i="26"/>
  <c r="T25" i="26"/>
  <c r="T26" i="26"/>
  <c r="BL14" i="26"/>
  <c r="AP25" i="26"/>
  <c r="AP26" i="26"/>
  <c r="BL17" i="26"/>
  <c r="T28" i="26"/>
  <c r="T13" i="26"/>
  <c r="T23" i="26" s="1"/>
  <c r="BL3" i="26"/>
  <c r="BM3" i="26"/>
  <c r="BM4" i="26"/>
  <c r="BM6" i="26"/>
  <c r="BM7" i="26"/>
  <c r="BI4" i="26"/>
  <c r="U25" i="26"/>
  <c r="U27" i="26"/>
  <c r="AQ24" i="26"/>
  <c r="AQ25" i="26"/>
  <c r="BM16" i="26"/>
  <c r="AQ27" i="26"/>
  <c r="BM18" i="26"/>
  <c r="BC13" i="26"/>
  <c r="BH3" i="26"/>
  <c r="AL9" i="26"/>
  <c r="BH6" i="26"/>
  <c r="BL4" i="26"/>
  <c r="P24" i="26"/>
  <c r="P26" i="26"/>
  <c r="AL24" i="26"/>
  <c r="AL26" i="26"/>
  <c r="AL27" i="26"/>
  <c r="AL28" i="26"/>
  <c r="AP24" i="26"/>
  <c r="BD13" i="26"/>
  <c r="BI3" i="26"/>
  <c r="BI6" i="26"/>
  <c r="BI7" i="26"/>
  <c r="BI8" i="26"/>
  <c r="Q24" i="26"/>
  <c r="BI16" i="26"/>
  <c r="AM28" i="26"/>
  <c r="I23" i="26"/>
  <c r="Q25" i="26"/>
  <c r="AN25" i="26"/>
  <c r="AP19" i="26"/>
  <c r="AK19" i="26"/>
  <c r="AO26" i="26"/>
  <c r="BK16" i="26"/>
  <c r="S26" i="26"/>
  <c r="BI18" i="26"/>
  <c r="BH5" i="26"/>
  <c r="P25" i="26"/>
  <c r="AM13" i="26"/>
  <c r="AQ26" i="26"/>
  <c r="BE13" i="26"/>
  <c r="BL16" i="26"/>
  <c r="BM17" i="26"/>
  <c r="Q27" i="26"/>
  <c r="N23" i="26"/>
  <c r="BF13" i="26"/>
  <c r="BI14" i="26"/>
  <c r="BL15" i="26"/>
  <c r="AQ9" i="26"/>
  <c r="AM24" i="26"/>
  <c r="BK6" i="26"/>
  <c r="AN13" i="26"/>
  <c r="AN23" i="26" s="1"/>
  <c r="BL7" i="26"/>
  <c r="AP13" i="26"/>
  <c r="AL25" i="26"/>
  <c r="AN26" i="26"/>
  <c r="AO13" i="26"/>
  <c r="AO23" i="26" s="1"/>
  <c r="AY13" i="26"/>
  <c r="BM15" i="26"/>
  <c r="BI5" i="26"/>
  <c r="S25" i="26"/>
  <c r="BM14" i="26"/>
  <c r="BJ14" i="26"/>
  <c r="R28" i="26"/>
  <c r="AG23" i="26"/>
  <c r="AK24" i="26"/>
  <c r="BA13" i="26"/>
  <c r="AN9" i="26"/>
  <c r="AQ19" i="26"/>
  <c r="AO24" i="26"/>
  <c r="AO28" i="26"/>
  <c r="AQ28" i="26"/>
  <c r="BG16" i="26"/>
  <c r="BH17" i="26"/>
  <c r="BG17" i="26"/>
  <c r="BK17" i="26"/>
  <c r="BG18" i="26"/>
  <c r="AX13" i="26"/>
  <c r="AK13" i="26"/>
  <c r="AR13" i="26" s="1"/>
  <c r="BH18" i="26"/>
  <c r="S27" i="26"/>
  <c r="BJ18" i="26"/>
  <c r="O28" i="26"/>
  <c r="BK18" i="26"/>
  <c r="P28" i="26"/>
  <c r="BH16" i="26"/>
  <c r="BK15" i="26"/>
  <c r="BG15" i="26"/>
  <c r="BH15" i="26"/>
  <c r="BJ15" i="26"/>
  <c r="AO19" i="26"/>
  <c r="AN19" i="26"/>
  <c r="BK14" i="26"/>
  <c r="AL19" i="26"/>
  <c r="S24" i="26"/>
  <c r="BG14" i="26"/>
  <c r="R13" i="26"/>
  <c r="AU13" i="26"/>
  <c r="BH14" i="26"/>
  <c r="AW13" i="26"/>
  <c r="C23" i="26"/>
  <c r="R27" i="26"/>
  <c r="O27" i="26"/>
  <c r="P27" i="26"/>
  <c r="O13" i="26"/>
  <c r="D23" i="26"/>
  <c r="R24" i="26"/>
  <c r="R25" i="26"/>
  <c r="R26" i="26"/>
  <c r="AL13" i="26"/>
  <c r="AL23" i="26" s="1"/>
  <c r="AC23" i="26"/>
  <c r="P13" i="26"/>
  <c r="S13" i="26"/>
  <c r="G23" i="26"/>
  <c r="AR19" i="26" l="1"/>
  <c r="BM13" i="26"/>
  <c r="U23" i="26"/>
  <c r="BK13" i="26"/>
  <c r="AK23" i="26"/>
  <c r="AP23" i="26"/>
  <c r="BL13" i="26"/>
  <c r="AM23" i="26"/>
  <c r="BI13" i="26"/>
  <c r="BH13" i="26"/>
  <c r="O23" i="26"/>
  <c r="BG13" i="26"/>
  <c r="R23" i="26"/>
  <c r="BJ13" i="26"/>
  <c r="S23" i="26"/>
  <c r="P23" i="26"/>
  <c r="AB18" i="6" l="1"/>
  <c r="H72" i="2" l="1"/>
  <c r="K64" i="2" s="1"/>
  <c r="G72" i="2"/>
  <c r="F72" i="2"/>
  <c r="AL16" i="6"/>
  <c r="N32" i="2"/>
  <c r="N31" i="2"/>
  <c r="N30" i="2"/>
  <c r="B31" i="2"/>
  <c r="B30" i="2"/>
  <c r="AB14" i="6"/>
  <c r="M63" i="4"/>
  <c r="M64" i="4"/>
  <c r="M65" i="4"/>
  <c r="M66" i="4"/>
  <c r="M67" i="4"/>
  <c r="M68" i="4"/>
  <c r="M69" i="4"/>
  <c r="M70" i="4"/>
  <c r="M71" i="4"/>
  <c r="M72" i="4"/>
  <c r="M62" i="4"/>
  <c r="H26" i="4"/>
  <c r="F7" i="2"/>
  <c r="L60" i="4"/>
  <c r="L59" i="4"/>
  <c r="K60" i="4"/>
  <c r="J60" i="4"/>
  <c r="K59" i="4"/>
  <c r="J59" i="4"/>
  <c r="AQ15" i="6"/>
  <c r="F73" i="2" l="1"/>
  <c r="J61" i="4"/>
  <c r="M59" i="4"/>
  <c r="K62" i="2"/>
  <c r="G73" i="2"/>
  <c r="J63" i="2"/>
  <c r="L61" i="4"/>
  <c r="J67" i="2"/>
  <c r="K71" i="2"/>
  <c r="K70" i="2"/>
  <c r="K61" i="4"/>
  <c r="K63" i="2"/>
  <c r="J70" i="2"/>
  <c r="J62" i="2"/>
  <c r="L62" i="2" s="1"/>
  <c r="K66" i="2"/>
  <c r="K69" i="2"/>
  <c r="K61" i="2"/>
  <c r="J64" i="2"/>
  <c r="L64" i="2" s="1"/>
  <c r="J71" i="2"/>
  <c r="K67" i="2"/>
  <c r="M60" i="4"/>
  <c r="J69" i="2"/>
  <c r="J61" i="2"/>
  <c r="K65" i="2"/>
  <c r="J66" i="2"/>
  <c r="J65" i="2"/>
  <c r="J60" i="2"/>
  <c r="K68" i="2"/>
  <c r="J68" i="2"/>
  <c r="K60" i="2"/>
  <c r="L68" i="2" l="1"/>
  <c r="L70" i="2"/>
  <c r="L66" i="2"/>
  <c r="L63" i="2"/>
  <c r="L61" i="2"/>
  <c r="L69" i="2"/>
  <c r="L71" i="2"/>
  <c r="L67" i="2"/>
  <c r="M61" i="4"/>
  <c r="L60" i="2"/>
  <c r="L65" i="2"/>
  <c r="AB21" i="6"/>
  <c r="AB20" i="6" s="1"/>
  <c r="D6" i="2"/>
  <c r="M69" i="2" l="1"/>
  <c r="M66" i="2"/>
  <c r="M63" i="2"/>
  <c r="M60" i="2"/>
  <c r="H6" i="2"/>
  <c r="AG13" i="6"/>
  <c r="G53" i="2" l="1"/>
  <c r="H53" i="2"/>
  <c r="K43" i="2" s="1"/>
  <c r="F53" i="2"/>
  <c r="AA13" i="6"/>
  <c r="I13" i="6"/>
  <c r="G54" i="2" l="1"/>
  <c r="J43" i="2"/>
  <c r="L43" i="2" s="1"/>
  <c r="F54" i="2"/>
  <c r="J44" i="2"/>
  <c r="J52" i="2"/>
  <c r="J51" i="2"/>
  <c r="K50" i="2"/>
  <c r="J50" i="2"/>
  <c r="K49" i="2"/>
  <c r="J42" i="2"/>
  <c r="J48" i="2"/>
  <c r="K42" i="2"/>
  <c r="J49" i="2"/>
  <c r="K41" i="2"/>
  <c r="K48" i="2"/>
  <c r="K47" i="2"/>
  <c r="K46" i="2"/>
  <c r="J47" i="2"/>
  <c r="J46" i="2"/>
  <c r="J41" i="2"/>
  <c r="J45" i="2"/>
  <c r="K52" i="2"/>
  <c r="K44" i="2"/>
  <c r="K45" i="2"/>
  <c r="K51" i="2"/>
  <c r="AF13" i="6"/>
  <c r="C5" i="11"/>
  <c r="D5" i="11"/>
  <c r="E5" i="11"/>
  <c r="B5" i="11"/>
  <c r="L50" i="2" l="1"/>
  <c r="L49" i="2"/>
  <c r="L45" i="2"/>
  <c r="L52" i="2"/>
  <c r="L41" i="2"/>
  <c r="L46" i="2"/>
  <c r="L48" i="2"/>
  <c r="L51" i="2"/>
  <c r="L47" i="2"/>
  <c r="L42" i="2"/>
  <c r="L44" i="2"/>
  <c r="P15" i="11"/>
  <c r="M15" i="11"/>
  <c r="H15" i="11"/>
  <c r="H16" i="11" s="1"/>
  <c r="O14" i="11" s="1"/>
  <c r="O15" i="11" s="1"/>
  <c r="G15" i="11"/>
  <c r="G16" i="11" s="1"/>
  <c r="L14" i="11" s="1"/>
  <c r="L15" i="11" s="1"/>
  <c r="M50" i="2" l="1"/>
  <c r="M41" i="2"/>
  <c r="M44" i="2"/>
  <c r="M47" i="2"/>
  <c r="D7" i="2" l="1"/>
  <c r="F10" i="2"/>
  <c r="D10" i="2"/>
  <c r="D9" i="2"/>
  <c r="F8" i="2"/>
  <c r="D8" i="2"/>
  <c r="G12" i="2"/>
  <c r="H12" i="2"/>
  <c r="G8" i="2" l="1"/>
  <c r="G9" i="2"/>
  <c r="I9" i="2"/>
  <c r="H7" i="2"/>
  <c r="G6" i="2"/>
  <c r="G7" i="2"/>
  <c r="H9" i="2"/>
  <c r="J26" i="4" l="1"/>
  <c r="K29" i="10" l="1"/>
  <c r="J29" i="10"/>
  <c r="I29" i="10"/>
  <c r="H29" i="10"/>
  <c r="E29" i="10"/>
  <c r="D29" i="10"/>
  <c r="K28" i="10"/>
  <c r="J28" i="10"/>
  <c r="I28" i="10"/>
  <c r="H28" i="10"/>
  <c r="E28" i="10"/>
  <c r="D28" i="10"/>
  <c r="K26" i="10"/>
  <c r="J26" i="10"/>
  <c r="I26" i="10"/>
  <c r="H26" i="10"/>
  <c r="E26" i="10"/>
  <c r="D26" i="10"/>
  <c r="K25" i="10"/>
  <c r="J25" i="10"/>
  <c r="I25" i="10"/>
  <c r="H25" i="10"/>
  <c r="E25" i="10"/>
  <c r="D25" i="10"/>
  <c r="K23" i="10"/>
  <c r="J23" i="10"/>
  <c r="I23" i="10"/>
  <c r="H23" i="10"/>
  <c r="E23" i="10"/>
  <c r="D23" i="10"/>
  <c r="K22" i="10"/>
  <c r="J22" i="10"/>
  <c r="I22" i="10"/>
  <c r="H22" i="10"/>
  <c r="E22" i="10"/>
  <c r="D22" i="10"/>
  <c r="E16" i="10"/>
  <c r="E32" i="10" s="1"/>
  <c r="D16" i="10"/>
  <c r="D32" i="10" s="1"/>
  <c r="E15" i="10"/>
  <c r="E31" i="10" s="1"/>
  <c r="D15" i="10"/>
  <c r="D31" i="10" s="1"/>
  <c r="K14" i="10"/>
  <c r="J14" i="10"/>
  <c r="I14" i="10"/>
  <c r="H14" i="10"/>
  <c r="E14" i="10"/>
  <c r="D14" i="10"/>
  <c r="G13" i="10"/>
  <c r="F13" i="10"/>
  <c r="F16" i="10" s="1"/>
  <c r="F32" i="10" s="1"/>
  <c r="G12" i="10"/>
  <c r="G15" i="10" s="1"/>
  <c r="G31" i="10" s="1"/>
  <c r="F12" i="10"/>
  <c r="K11" i="10"/>
  <c r="J11" i="10"/>
  <c r="I11" i="10"/>
  <c r="H11" i="10"/>
  <c r="E11" i="10"/>
  <c r="D11" i="10"/>
  <c r="G10" i="10"/>
  <c r="F10" i="10"/>
  <c r="G9" i="10"/>
  <c r="F9" i="10"/>
  <c r="K8" i="10"/>
  <c r="J8" i="10"/>
  <c r="I8" i="10"/>
  <c r="H8" i="10"/>
  <c r="E8" i="10"/>
  <c r="D8" i="10"/>
  <c r="G7" i="10"/>
  <c r="F7" i="10"/>
  <c r="G6" i="10"/>
  <c r="F6" i="10"/>
  <c r="K5" i="10"/>
  <c r="J5" i="10"/>
  <c r="I5" i="10"/>
  <c r="H5" i="10"/>
  <c r="E5" i="10"/>
  <c r="D5" i="10"/>
  <c r="G4" i="10"/>
  <c r="F4" i="10"/>
  <c r="G3" i="10"/>
  <c r="F3" i="10"/>
  <c r="H24" i="10" l="1"/>
  <c r="D27" i="10"/>
  <c r="G11" i="10"/>
  <c r="I30" i="10"/>
  <c r="G23" i="10"/>
  <c r="K27" i="10"/>
  <c r="F26" i="10"/>
  <c r="F23" i="10"/>
  <c r="G28" i="10"/>
  <c r="F5" i="10"/>
  <c r="G5" i="10"/>
  <c r="I24" i="10"/>
  <c r="E27" i="10"/>
  <c r="G29" i="10"/>
  <c r="J24" i="10"/>
  <c r="H27" i="10"/>
  <c r="D30" i="10"/>
  <c r="G8" i="10"/>
  <c r="K24" i="10"/>
  <c r="I27" i="10"/>
  <c r="E30" i="10"/>
  <c r="F29" i="10"/>
  <c r="J27" i="10"/>
  <c r="F25" i="10"/>
  <c r="F28" i="10"/>
  <c r="J30" i="10"/>
  <c r="E17" i="10"/>
  <c r="E33" i="10" s="1"/>
  <c r="G22" i="10"/>
  <c r="F22" i="10"/>
  <c r="H30" i="10"/>
  <c r="D24" i="10"/>
  <c r="E24" i="10"/>
  <c r="G26" i="10"/>
  <c r="G14" i="10"/>
  <c r="G17" i="10" s="1"/>
  <c r="G33" i="10" s="1"/>
  <c r="K30" i="10"/>
  <c r="G25" i="10"/>
  <c r="F8" i="10"/>
  <c r="F11" i="10"/>
  <c r="F14" i="10"/>
  <c r="G16" i="10"/>
  <c r="G32" i="10" s="1"/>
  <c r="F15" i="10"/>
  <c r="F31" i="10" s="1"/>
  <c r="D17" i="10"/>
  <c r="D33" i="10" s="1"/>
  <c r="F27" i="10" l="1"/>
  <c r="G27" i="10"/>
  <c r="F24" i="10"/>
  <c r="G30" i="10"/>
  <c r="G24" i="10"/>
  <c r="F17" i="10"/>
  <c r="F33" i="10" s="1"/>
  <c r="F30" i="10"/>
  <c r="P58" i="7" l="1"/>
  <c r="O58" i="7"/>
  <c r="P57" i="7"/>
  <c r="O57" i="7"/>
  <c r="P52" i="7"/>
  <c r="O52" i="7"/>
  <c r="P49" i="7"/>
  <c r="O49" i="7"/>
  <c r="P45" i="7"/>
  <c r="O45" i="7"/>
  <c r="P42" i="7"/>
  <c r="O42" i="7"/>
  <c r="P38" i="7"/>
  <c r="O38" i="7"/>
  <c r="P37" i="7"/>
  <c r="O37" i="7"/>
  <c r="P36" i="7"/>
  <c r="O36" i="7"/>
  <c r="P35" i="7"/>
  <c r="O35" i="7"/>
  <c r="N31" i="7"/>
  <c r="M31" i="7"/>
  <c r="L31" i="7"/>
  <c r="K31" i="7"/>
  <c r="P30" i="7"/>
  <c r="O30" i="7"/>
  <c r="P29" i="7"/>
  <c r="O29" i="7"/>
  <c r="P22" i="7"/>
  <c r="O22" i="7"/>
  <c r="P17" i="7"/>
  <c r="O17" i="7"/>
  <c r="P16" i="7"/>
  <c r="O16" i="7"/>
  <c r="F16" i="7"/>
  <c r="E16" i="7"/>
  <c r="D16" i="7"/>
  <c r="C16" i="7"/>
  <c r="N15" i="7"/>
  <c r="F15" i="7" s="1"/>
  <c r="M15" i="7"/>
  <c r="E15" i="7" s="1"/>
  <c r="L15" i="7"/>
  <c r="D15" i="7" s="1"/>
  <c r="K15" i="7"/>
  <c r="C15" i="7" s="1"/>
  <c r="P9" i="7"/>
  <c r="O9" i="7"/>
  <c r="G9" i="7"/>
  <c r="P8" i="7"/>
  <c r="O8" i="7"/>
  <c r="F8" i="7"/>
  <c r="E8" i="7"/>
  <c r="D8" i="7"/>
  <c r="C8" i="7"/>
  <c r="P7" i="7"/>
  <c r="O7" i="7"/>
  <c r="F7" i="7"/>
  <c r="E7" i="7"/>
  <c r="D7" i="7"/>
  <c r="C7" i="7"/>
  <c r="P6" i="7"/>
  <c r="O6" i="7"/>
  <c r="F6" i="7"/>
  <c r="E6" i="7"/>
  <c r="D6" i="7"/>
  <c r="C6" i="7"/>
  <c r="P5" i="7"/>
  <c r="O5" i="7"/>
  <c r="F5" i="7"/>
  <c r="E5" i="7"/>
  <c r="D5" i="7"/>
  <c r="C5" i="7"/>
  <c r="E9" i="7" l="1"/>
  <c r="O31" i="7"/>
  <c r="P31" i="7"/>
  <c r="C9" i="7"/>
  <c r="D14" i="7"/>
  <c r="D18" i="7" s="1"/>
  <c r="E14" i="7"/>
  <c r="E18" i="7" s="1"/>
  <c r="F14" i="7"/>
  <c r="F18" i="7" s="1"/>
  <c r="P15" i="7"/>
  <c r="C14" i="7"/>
  <c r="C18" i="7" s="1"/>
  <c r="F9" i="7"/>
  <c r="D9" i="7"/>
  <c r="O15" i="7"/>
  <c r="G14" i="7" l="1"/>
  <c r="G18" i="7" s="1"/>
  <c r="M18" i="7" s="1"/>
  <c r="L14" i="7" l="1"/>
  <c r="K18" i="7"/>
  <c r="M14" i="7"/>
  <c r="L18" i="7"/>
  <c r="N14" i="7"/>
  <c r="K14" i="7"/>
  <c r="N18" i="7"/>
  <c r="P18" i="7" s="1"/>
  <c r="O18" i="7" l="1"/>
  <c r="O14" i="7"/>
  <c r="P14" i="7"/>
  <c r="S14" i="6"/>
  <c r="J14" i="6"/>
  <c r="M14" i="6" s="1"/>
  <c r="C14" i="6"/>
  <c r="F11" i="6" s="1"/>
  <c r="B14" i="6"/>
  <c r="E14" i="6" s="1"/>
  <c r="X13" i="6"/>
  <c r="R13" i="6"/>
  <c r="R14" i="6" s="1"/>
  <c r="O13" i="6"/>
  <c r="N13" i="6"/>
  <c r="D13" i="6"/>
  <c r="AG12" i="6"/>
  <c r="AA12" i="6"/>
  <c r="AF12" i="6" s="1"/>
  <c r="X12" i="6"/>
  <c r="W12" i="6"/>
  <c r="T12" i="6"/>
  <c r="O12" i="6"/>
  <c r="N12" i="6"/>
  <c r="K12" i="6"/>
  <c r="D12" i="6"/>
  <c r="AG11" i="6"/>
  <c r="AA11" i="6"/>
  <c r="X11" i="6"/>
  <c r="W11" i="6"/>
  <c r="T11" i="6"/>
  <c r="O11" i="6"/>
  <c r="N11" i="6"/>
  <c r="K11" i="6"/>
  <c r="D11" i="6"/>
  <c r="AG10" i="6"/>
  <c r="AA10" i="6"/>
  <c r="AF10" i="6" s="1"/>
  <c r="X10" i="6"/>
  <c r="W10" i="6"/>
  <c r="T10" i="6"/>
  <c r="O10" i="6"/>
  <c r="N10" i="6"/>
  <c r="K10" i="6"/>
  <c r="D10" i="6"/>
  <c r="AG9" i="6"/>
  <c r="AA9" i="6"/>
  <c r="AF9" i="6" s="1"/>
  <c r="X9" i="6"/>
  <c r="W9" i="6"/>
  <c r="T9" i="6"/>
  <c r="O9" i="6"/>
  <c r="N9" i="6"/>
  <c r="K9" i="6"/>
  <c r="D9" i="6"/>
  <c r="AG8" i="6"/>
  <c r="AA8" i="6"/>
  <c r="X8" i="6"/>
  <c r="W8" i="6"/>
  <c r="T8" i="6"/>
  <c r="O8" i="6"/>
  <c r="N8" i="6"/>
  <c r="K8" i="6"/>
  <c r="D8" i="6"/>
  <c r="AG7" i="6"/>
  <c r="AA7" i="6"/>
  <c r="AF7" i="6" s="1"/>
  <c r="X7" i="6"/>
  <c r="W7" i="6"/>
  <c r="T7" i="6"/>
  <c r="O7" i="6"/>
  <c r="N7" i="6"/>
  <c r="K7" i="6"/>
  <c r="D7" i="6"/>
  <c r="AG6" i="6"/>
  <c r="AA6" i="6"/>
  <c r="AF6" i="6" s="1"/>
  <c r="X6" i="6"/>
  <c r="W6" i="6"/>
  <c r="T6" i="6"/>
  <c r="O6" i="6"/>
  <c r="N6" i="6"/>
  <c r="K6" i="6"/>
  <c r="D6" i="6"/>
  <c r="AG5" i="6"/>
  <c r="AA5" i="6"/>
  <c r="X5" i="6"/>
  <c r="W5" i="6"/>
  <c r="T5" i="6"/>
  <c r="O5" i="6"/>
  <c r="N5" i="6"/>
  <c r="K5" i="6"/>
  <c r="D5" i="6"/>
  <c r="AG4" i="6"/>
  <c r="AA4" i="6"/>
  <c r="AF4" i="6" s="1"/>
  <c r="X4" i="6"/>
  <c r="W4" i="6"/>
  <c r="T4" i="6"/>
  <c r="O4" i="6"/>
  <c r="N4" i="6"/>
  <c r="K4" i="6"/>
  <c r="D4" i="6"/>
  <c r="AG3" i="6"/>
  <c r="AA3" i="6"/>
  <c r="AF3" i="6" s="1"/>
  <c r="X3" i="6"/>
  <c r="W3" i="6"/>
  <c r="T3" i="6"/>
  <c r="O3" i="6"/>
  <c r="N3" i="6"/>
  <c r="K3" i="6"/>
  <c r="D3" i="6"/>
  <c r="X2" i="6"/>
  <c r="W2" i="6"/>
  <c r="T2" i="6"/>
  <c r="O2" i="6"/>
  <c r="N2" i="6"/>
  <c r="K2" i="6"/>
  <c r="D2" i="6"/>
  <c r="F9" i="6" l="1"/>
  <c r="F4" i="6"/>
  <c r="F8" i="6"/>
  <c r="F3" i="6"/>
  <c r="AK14" i="6"/>
  <c r="AG14" i="6"/>
  <c r="AB24" i="6"/>
  <c r="F6" i="6"/>
  <c r="F12" i="6"/>
  <c r="F7" i="6"/>
  <c r="F2" i="6"/>
  <c r="F5" i="6"/>
  <c r="F10" i="6"/>
  <c r="E6" i="6"/>
  <c r="M2" i="6"/>
  <c r="M5" i="6"/>
  <c r="M8" i="6"/>
  <c r="V4" i="6"/>
  <c r="V7" i="6"/>
  <c r="V10" i="6"/>
  <c r="E9" i="6"/>
  <c r="E3" i="6"/>
  <c r="M11" i="6"/>
  <c r="U14" i="6"/>
  <c r="U10" i="6"/>
  <c r="U7" i="6"/>
  <c r="U4" i="6"/>
  <c r="W14" i="6"/>
  <c r="X14" i="6"/>
  <c r="V6" i="6"/>
  <c r="V9" i="6"/>
  <c r="V12" i="6"/>
  <c r="D14" i="6"/>
  <c r="E12" i="6"/>
  <c r="U13" i="6"/>
  <c r="V2" i="6"/>
  <c r="V5" i="6"/>
  <c r="V8" i="6"/>
  <c r="V11" i="6"/>
  <c r="V13" i="6"/>
  <c r="O14" i="6"/>
  <c r="V3" i="6"/>
  <c r="W13" i="6"/>
  <c r="AP7" i="6"/>
  <c r="I14" i="6"/>
  <c r="AF5" i="6"/>
  <c r="AF8" i="6"/>
  <c r="AF11" i="6"/>
  <c r="F13" i="6"/>
  <c r="F14" i="6"/>
  <c r="V14" i="6"/>
  <c r="U3" i="6"/>
  <c r="M4" i="6"/>
  <c r="E5" i="6"/>
  <c r="U6" i="6"/>
  <c r="M7" i="6"/>
  <c r="E8" i="6"/>
  <c r="U9" i="6"/>
  <c r="M10" i="6"/>
  <c r="E11" i="6"/>
  <c r="U12" i="6"/>
  <c r="M13" i="6"/>
  <c r="T14" i="6"/>
  <c r="E2" i="6"/>
  <c r="U2" i="6"/>
  <c r="M3" i="6"/>
  <c r="E4" i="6"/>
  <c r="U5" i="6"/>
  <c r="M6" i="6"/>
  <c r="E7" i="6"/>
  <c r="U8" i="6"/>
  <c r="M9" i="6"/>
  <c r="E10" i="6"/>
  <c r="U11" i="6"/>
  <c r="M12" i="6"/>
  <c r="E13" i="6"/>
  <c r="AP14" i="6" l="1"/>
  <c r="AJ14" i="6"/>
  <c r="AJ2" i="6" s="1"/>
  <c r="AN15" i="6"/>
  <c r="AP2" i="6"/>
  <c r="AP10" i="6"/>
  <c r="AP5" i="6"/>
  <c r="AP13" i="6"/>
  <c r="AP11" i="6"/>
  <c r="AP6" i="6"/>
  <c r="AP3" i="6"/>
  <c r="AP8" i="6"/>
  <c r="AP12" i="6"/>
  <c r="AP9" i="6"/>
  <c r="AP4" i="6"/>
  <c r="L14" i="6"/>
  <c r="L12" i="6"/>
  <c r="L9" i="6"/>
  <c r="L6" i="6"/>
  <c r="L3" i="6"/>
  <c r="L4" i="6"/>
  <c r="L10" i="6"/>
  <c r="L7" i="6"/>
  <c r="N14" i="6"/>
  <c r="L11" i="6"/>
  <c r="L8" i="6"/>
  <c r="L5" i="6"/>
  <c r="L2" i="6"/>
  <c r="K14" i="6"/>
  <c r="L13" i="6"/>
  <c r="AJ12" i="6" l="1"/>
  <c r="AO12" i="6" s="1"/>
  <c r="AJ8" i="6"/>
  <c r="AO8" i="6" s="1"/>
  <c r="AO14" i="6"/>
  <c r="AJ5" i="6"/>
  <c r="AO5" i="6" s="1"/>
  <c r="AJ4" i="6"/>
  <c r="AO4" i="6" s="1"/>
  <c r="AJ10" i="6"/>
  <c r="AO10" i="6" s="1"/>
  <c r="AJ13" i="6"/>
  <c r="AO13" i="6" s="1"/>
  <c r="AO2" i="6"/>
  <c r="AJ9" i="6"/>
  <c r="AO9" i="6" s="1"/>
  <c r="AJ11" i="6"/>
  <c r="AO11" i="6" s="1"/>
  <c r="AJ7" i="6"/>
  <c r="AO7" i="6" s="1"/>
  <c r="AJ3" i="6"/>
  <c r="AO3" i="6" s="1"/>
  <c r="AJ6" i="6"/>
  <c r="AO6" i="6" s="1"/>
  <c r="C30" i="2"/>
  <c r="D30" i="2"/>
  <c r="E30" i="2"/>
  <c r="F30" i="2"/>
  <c r="G30" i="2"/>
  <c r="H30" i="2"/>
  <c r="I30" i="2"/>
  <c r="J30" i="2"/>
  <c r="K30" i="2"/>
  <c r="L30" i="2"/>
  <c r="M30" i="2"/>
  <c r="C35" i="2"/>
  <c r="D35" i="2"/>
  <c r="E35" i="2"/>
  <c r="F35" i="2"/>
  <c r="G35" i="2"/>
  <c r="H35" i="2"/>
  <c r="I35" i="2"/>
  <c r="J35" i="2"/>
  <c r="K35" i="2"/>
  <c r="L35" i="2"/>
  <c r="M35" i="2"/>
  <c r="N35" i="2"/>
  <c r="N36" i="2"/>
  <c r="N37" i="2"/>
  <c r="M32" i="4"/>
  <c r="N32" i="4" s="1"/>
  <c r="H4" i="4"/>
  <c r="H5" i="4"/>
  <c r="H6" i="4"/>
  <c r="H7" i="4"/>
  <c r="H8" i="4"/>
  <c r="H9" i="4"/>
  <c r="H10" i="4"/>
  <c r="H11" i="4"/>
  <c r="H12" i="4"/>
  <c r="H13" i="4"/>
  <c r="H14" i="4"/>
  <c r="H3" i="4"/>
  <c r="C33" i="5"/>
  <c r="C32" i="5"/>
  <c r="C29" i="5"/>
  <c r="C34" i="5"/>
  <c r="C28" i="5"/>
  <c r="C31" i="5"/>
  <c r="C30" i="5"/>
  <c r="C27" i="5"/>
  <c r="C36" i="5"/>
  <c r="C38" i="5"/>
  <c r="C37" i="5"/>
  <c r="C35" i="5"/>
  <c r="C40" i="5" l="1"/>
  <c r="M38" i="4"/>
  <c r="M28" i="4"/>
  <c r="M29" i="4"/>
  <c r="M31" i="4"/>
  <c r="M33" i="4"/>
  <c r="M34" i="4"/>
  <c r="M35" i="4"/>
  <c r="M36" i="4"/>
  <c r="N36" i="4" s="1"/>
  <c r="M37" i="4"/>
  <c r="L30" i="4"/>
  <c r="M30" i="4" s="1"/>
  <c r="H27" i="4"/>
  <c r="D28" i="5"/>
  <c r="E36" i="5"/>
  <c r="E29" i="5"/>
  <c r="D29" i="5"/>
  <c r="D27" i="5"/>
  <c r="D30" i="5"/>
  <c r="E31" i="5"/>
  <c r="E35" i="5"/>
  <c r="D38" i="5"/>
  <c r="E27" i="5"/>
  <c r="D34" i="5"/>
  <c r="E37" i="5"/>
  <c r="D31" i="5"/>
  <c r="E38" i="5"/>
  <c r="E33" i="5"/>
  <c r="D33" i="5"/>
  <c r="E34" i="5"/>
  <c r="D32" i="5"/>
  <c r="E32" i="5"/>
  <c r="E30" i="5"/>
  <c r="E28" i="5"/>
  <c r="D37" i="5"/>
  <c r="D35" i="5"/>
  <c r="D36" i="5"/>
  <c r="E40" i="5" l="1"/>
  <c r="D40" i="5"/>
  <c r="G30" i="5"/>
  <c r="G38" i="5"/>
  <c r="G33" i="5"/>
  <c r="G28" i="5"/>
  <c r="G36" i="5"/>
  <c r="G31" i="5"/>
  <c r="G34" i="5"/>
  <c r="G35" i="5"/>
  <c r="G29" i="5"/>
  <c r="G37" i="5"/>
  <c r="G27" i="5"/>
  <c r="G32" i="5"/>
  <c r="H16" i="4"/>
  <c r="H17" i="4"/>
  <c r="H18" i="4"/>
  <c r="H19" i="4"/>
  <c r="H20" i="4"/>
  <c r="H21" i="4"/>
  <c r="H22" i="4"/>
  <c r="H23" i="4"/>
  <c r="H24" i="4"/>
  <c r="H25" i="4"/>
  <c r="H15" i="4"/>
  <c r="I24" i="4" l="1"/>
  <c r="H35" i="5"/>
  <c r="H30" i="5"/>
  <c r="H38" i="5"/>
  <c r="H33" i="5"/>
  <c r="H28" i="5"/>
  <c r="H36" i="5"/>
  <c r="H31" i="5"/>
  <c r="H27" i="5"/>
  <c r="H34" i="5"/>
  <c r="H32" i="5"/>
  <c r="H29" i="5"/>
  <c r="H37" i="5"/>
  <c r="I32" i="5"/>
  <c r="I35" i="5"/>
  <c r="I37" i="5"/>
  <c r="I30" i="5"/>
  <c r="I38" i="5"/>
  <c r="I33" i="5"/>
  <c r="I27" i="5"/>
  <c r="I28" i="5"/>
  <c r="I36" i="5"/>
  <c r="I31" i="5"/>
  <c r="I34" i="5"/>
  <c r="I29" i="5"/>
  <c r="I21" i="4"/>
  <c r="I15" i="4"/>
  <c r="I18" i="4"/>
  <c r="H36" i="4"/>
  <c r="H33" i="4"/>
  <c r="H30" i="4"/>
  <c r="G42" i="4"/>
  <c r="B41" i="4"/>
  <c r="K27" i="4" l="1"/>
  <c r="L27" i="4" s="1"/>
  <c r="M27" i="4" s="1"/>
  <c r="M39" i="4" s="1"/>
  <c r="K30" i="4"/>
  <c r="K36" i="4"/>
  <c r="K33" i="4"/>
  <c r="I27" i="4"/>
  <c r="I30" i="4"/>
  <c r="I33" i="4"/>
  <c r="I36" i="4"/>
  <c r="C36" i="4"/>
  <c r="C30" i="4"/>
  <c r="C31" i="4"/>
  <c r="C32" i="4"/>
  <c r="C33" i="4"/>
  <c r="C37" i="4"/>
  <c r="C34" i="4"/>
  <c r="C35" i="4"/>
  <c r="C38" i="4"/>
  <c r="C29" i="4"/>
  <c r="C27" i="4"/>
  <c r="C28" i="4"/>
  <c r="F27" i="4" l="1"/>
  <c r="C42" i="4"/>
  <c r="C43" i="4" s="1"/>
  <c r="L37" i="2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M37" i="2"/>
  <c r="B32" i="2"/>
  <c r="C31" i="2"/>
  <c r="D31" i="2"/>
  <c r="E31" i="2"/>
  <c r="F31" i="2"/>
  <c r="G31" i="2"/>
  <c r="H31" i="2"/>
  <c r="I31" i="2"/>
  <c r="J31" i="2"/>
  <c r="K31" i="2"/>
  <c r="L31" i="2"/>
  <c r="M31" i="2"/>
  <c r="C32" i="2"/>
  <c r="D32" i="2"/>
  <c r="E32" i="2"/>
  <c r="F32" i="2"/>
  <c r="G32" i="2"/>
  <c r="H32" i="2"/>
  <c r="I32" i="2"/>
  <c r="J32" i="2"/>
  <c r="K32" i="2"/>
  <c r="L32" i="2"/>
  <c r="M32" i="2"/>
  <c r="D32" i="4"/>
  <c r="E28" i="4"/>
  <c r="D38" i="4"/>
  <c r="E37" i="4"/>
  <c r="E27" i="4"/>
  <c r="E31" i="4"/>
  <c r="D34" i="4"/>
  <c r="D29" i="4"/>
  <c r="D37" i="4"/>
  <c r="E29" i="4"/>
  <c r="E35" i="4"/>
  <c r="E33" i="4"/>
  <c r="E34" i="4"/>
  <c r="D35" i="4"/>
  <c r="D36" i="4"/>
  <c r="D28" i="4"/>
  <c r="E36" i="4"/>
  <c r="D30" i="4"/>
  <c r="E32" i="4"/>
  <c r="D33" i="4"/>
  <c r="E38" i="4"/>
  <c r="D31" i="4"/>
  <c r="E30" i="4"/>
  <c r="D27" i="4"/>
  <c r="E42" i="4" l="1"/>
  <c r="E43" i="4" s="1"/>
  <c r="D42" i="4"/>
  <c r="D43" i="4" s="1"/>
  <c r="B35" i="2"/>
  <c r="K10" i="3" l="1"/>
  <c r="F10" i="3"/>
  <c r="G10" i="3" s="1"/>
  <c r="K9" i="3"/>
  <c r="F9" i="3"/>
  <c r="G9" i="3" s="1"/>
  <c r="F8" i="3"/>
  <c r="G8" i="3" s="1"/>
  <c r="AG2" i="6"/>
  <c r="AE14" i="6"/>
  <c r="AA2" i="6"/>
  <c r="AA14" i="6" s="1"/>
  <c r="AF2" i="6" l="1"/>
  <c r="AD13" i="6"/>
  <c r="AF14" i="6"/>
  <c r="AD14" i="6"/>
  <c r="AD4" i="6"/>
  <c r="AD8" i="6"/>
  <c r="AD9" i="6"/>
  <c r="AD11" i="6"/>
  <c r="AD6" i="6"/>
  <c r="AD7" i="6"/>
  <c r="AD10" i="6"/>
  <c r="AD12" i="6"/>
  <c r="AD3" i="6"/>
  <c r="AD5" i="6"/>
  <c r="AD2" i="6"/>
  <c r="AC14" i="6"/>
</calcChain>
</file>

<file path=xl/sharedStrings.xml><?xml version="1.0" encoding="utf-8"?>
<sst xmlns="http://schemas.openxmlformats.org/spreadsheetml/2006/main" count="2447" uniqueCount="487">
  <si>
    <t>历年目标拟订逻辑</t>
    <phoneticPr fontId="2" type="noConversion"/>
  </si>
  <si>
    <t>2023年，基于业务上报的预算目标，适当上浮调整；其中，购物零售版块（电视/电商）因OPG已限定目标，整体不动；旅游、本地生活、全球购、汽车等依据外部市场变化、历年业绩规模，有所上调。</t>
    <phoneticPr fontId="2" type="noConversion"/>
  </si>
  <si>
    <t>自营旅游</t>
    <phoneticPr fontId="2" type="noConversion"/>
  </si>
  <si>
    <t>其他收入</t>
    <phoneticPr fontId="2" type="noConversion"/>
  </si>
  <si>
    <t>销售利润</t>
  </si>
  <si>
    <t>销售利润</t>
    <phoneticPr fontId="2" type="noConversion"/>
  </si>
  <si>
    <t>快团团</t>
    <phoneticPr fontId="2" type="noConversion"/>
  </si>
  <si>
    <t>存量合计</t>
  </si>
  <si>
    <t>* 24年春节：2.10-2.17</t>
    <phoneticPr fontId="2" type="noConversion"/>
  </si>
  <si>
    <t>* 23年春节：1.21-1.27</t>
    <phoneticPr fontId="2" type="noConversion"/>
  </si>
  <si>
    <t>* 21年春节：2.11-2.17</t>
    <phoneticPr fontId="2" type="noConversion"/>
  </si>
  <si>
    <t>2024年</t>
    <phoneticPr fontId="2" type="noConversion"/>
  </si>
  <si>
    <t>年度</t>
    <phoneticPr fontId="2" type="noConversion"/>
  </si>
  <si>
    <t>2023年</t>
    <phoneticPr fontId="2" type="noConversion"/>
  </si>
  <si>
    <t>2022年</t>
    <phoneticPr fontId="2" type="noConversion"/>
  </si>
  <si>
    <t>2021年</t>
    <phoneticPr fontId="2" type="noConversion"/>
  </si>
  <si>
    <t>销售额目标</t>
    <phoneticPr fontId="2" type="noConversion"/>
  </si>
  <si>
    <t>旅行路线代销</t>
    <phoneticPr fontId="2" type="noConversion"/>
  </si>
  <si>
    <t>销售利润目标</t>
    <phoneticPr fontId="2" type="noConversion"/>
  </si>
  <si>
    <t>实际销售额</t>
    <phoneticPr fontId="2" type="noConversion"/>
  </si>
  <si>
    <t>实际销售利润</t>
    <phoneticPr fontId="2" type="noConversion"/>
  </si>
  <si>
    <t>2023年购物公司（购物零售+手续费）目标设置方向</t>
    <phoneticPr fontId="14" type="noConversion"/>
  </si>
  <si>
    <t>一、整体思路</t>
    <phoneticPr fontId="2" type="noConversion"/>
  </si>
  <si>
    <r>
      <rPr>
        <b/>
        <sz val="11"/>
        <color theme="1"/>
        <rFont val="微软雅黑"/>
        <family val="2"/>
        <charset val="134"/>
      </rPr>
      <t xml:space="preserve"> 1. 三套方案</t>
    </r>
    <r>
      <rPr>
        <sz val="11"/>
        <color theme="1"/>
        <rFont val="微软雅黑"/>
        <family val="2"/>
        <charset val="134"/>
      </rPr>
      <t>：以财务预估为基础对标，按照业务目标在不同月份间的配比，增加“确保标”和“挑战标”</t>
    </r>
    <phoneticPr fontId="2" type="noConversion"/>
  </si>
  <si>
    <r>
      <rPr>
        <b/>
        <sz val="11"/>
        <color theme="1"/>
        <rFont val="微软雅黑"/>
        <family val="2"/>
        <charset val="134"/>
      </rPr>
      <t xml:space="preserve"> 2. 利润导向</t>
    </r>
    <r>
      <rPr>
        <sz val="11"/>
        <color theme="1"/>
        <rFont val="微软雅黑"/>
        <family val="2"/>
        <charset val="134"/>
      </rPr>
      <t>：保持23年度毛利率同比基本持平，2022年剔除4-5月后平均毛利率23.8%；销售额目标按23.8%毛利率反推，不同月度的毛利率水平，参考2019-2021年的历史水平；</t>
    </r>
    <phoneticPr fontId="2" type="noConversion"/>
  </si>
  <si>
    <r>
      <rPr>
        <b/>
        <sz val="11"/>
        <color theme="1"/>
        <rFont val="微软雅黑"/>
        <family val="2"/>
        <charset val="134"/>
      </rPr>
      <t xml:space="preserve"> 3. 分月权重</t>
    </r>
    <r>
      <rPr>
        <sz val="11"/>
        <color theme="1"/>
        <rFont val="微软雅黑"/>
        <family val="2"/>
        <charset val="134"/>
      </rPr>
      <t>：结合19-21年历史三年比重（权重1:2:7，22年不作参考），根据业务周期规律、营销活动节奏，分解2023年各月目标（1月按暂定目标执行；提高4月、11月、12月比重）；</t>
    </r>
    <phoneticPr fontId="2" type="noConversion"/>
  </si>
  <si>
    <t xml:space="preserve"> 注：已上报OPG版，日均利润额为147.8万；</t>
    <phoneticPr fontId="2" type="noConversion"/>
  </si>
  <si>
    <t>方案/万元</t>
    <phoneticPr fontId="2" type="noConversion"/>
  </si>
  <si>
    <t>营收目标</t>
    <phoneticPr fontId="2" type="noConversion"/>
  </si>
  <si>
    <t>归母净利润</t>
    <phoneticPr fontId="2" type="noConversion"/>
  </si>
  <si>
    <t>年同比</t>
    <phoneticPr fontId="2" type="noConversion"/>
  </si>
  <si>
    <t>日均利润</t>
    <phoneticPr fontId="2" type="noConversion"/>
  </si>
  <si>
    <t>日均同比
（可比口径）</t>
    <phoneticPr fontId="2" type="noConversion"/>
  </si>
  <si>
    <t>方案总盘说明</t>
    <phoneticPr fontId="2" type="noConversion"/>
  </si>
  <si>
    <t>方案利弊</t>
    <phoneticPr fontId="2" type="noConversion"/>
  </si>
  <si>
    <t>基础标</t>
    <phoneticPr fontId="2" type="noConversion"/>
  </si>
  <si>
    <t xml:space="preserve">（财务预估）
按2017-2021年四年的复合增长率计算，年均降幅13.9%；
基于21年基准，22年、23年分别连续下降13.9%；
</t>
    <phoneticPr fontId="2" type="noConversion"/>
  </si>
  <si>
    <t>利：相对易达成，能兼容大屏录播的冲击，可鼓舞士气，有更多空间创新和培育新业务
弊：月度间目标分配，按波动标设置会出现低谷标极低的情况（日均139万）；离上报股份公司的底线较近，万一有个别月份未达成，整体达成风险提高，略被动；</t>
    <phoneticPr fontId="2" type="noConversion"/>
  </si>
  <si>
    <t>确保标</t>
    <phoneticPr fontId="2" type="noConversion"/>
  </si>
  <si>
    <r>
      <rPr>
        <b/>
        <sz val="11"/>
        <color theme="1"/>
        <rFont val="微软雅黑"/>
        <family val="2"/>
        <charset val="134"/>
      </rPr>
      <t>（建议方案）</t>
    </r>
    <r>
      <rPr>
        <sz val="11"/>
        <color theme="1"/>
        <rFont val="微软雅黑"/>
        <family val="2"/>
        <charset val="134"/>
      </rPr>
      <t>基本持平2022年可比口径。
2022年剔除4-5月61天的连续直接影响，日均利润161万，考虑3月中下旬、12月中下旬、三季度的疫情反复等，略作上调</t>
    </r>
    <phoneticPr fontId="2" type="noConversion"/>
  </si>
  <si>
    <t>利：月度目标分配有一定空间，全年营销旺季可适当上调；对创新和新业务尝试，保有一定的成长空间
弊：如果疫情直接冲击力度同2022年，则仍有压力；如果直录播配比较2022年出现异动，若录播效率短时间内没有提升，确保标将面临压力</t>
    <phoneticPr fontId="2" type="noConversion"/>
  </si>
  <si>
    <t>挑战标</t>
    <phoneticPr fontId="2" type="noConversion"/>
  </si>
  <si>
    <t>上海2023年GDP增长目标5.5%+，保持宏观经济同等增速；
同比2021年，下降16.5%</t>
    <phoneticPr fontId="2" type="noConversion"/>
  </si>
  <si>
    <t>利：顺应2023年经济回暖的预期，看齐宏观经济大盘，降低降本压力；
弊：具有一定挑战性，一旦外部环境承压，可能影响士气</t>
    <phoneticPr fontId="2" type="noConversion"/>
  </si>
  <si>
    <t>同比2022年（减4、5月61天）</t>
    <phoneticPr fontId="2" type="noConversion"/>
  </si>
  <si>
    <t>-</t>
    <phoneticPr fontId="2" type="noConversion"/>
  </si>
  <si>
    <t>二、渠道新变化</t>
    <phoneticPr fontId="2" type="noConversion"/>
  </si>
  <si>
    <t>1. 从传统“电视、新媒体、目录”，调整为按“大屏、小屏、目录DM、数据库营销、企业团购”落实目标；</t>
    <phoneticPr fontId="2" type="noConversion"/>
  </si>
  <si>
    <t>2. 大屏，包括：有线与数字频道、IPTV与OTT等；</t>
    <phoneticPr fontId="2" type="noConversion"/>
  </si>
  <si>
    <t>3. 小屏，包括：APP、视频号、微信、第三方平台（京东/天猫/B加）；社群单列在电子商务板块；抖音作为项目制，拟单独设定目标；</t>
    <phoneticPr fontId="2" type="noConversion"/>
  </si>
  <si>
    <r>
      <t>4. 对标小屏三年占比80%的目标，按2023年度目标占比</t>
    </r>
    <r>
      <rPr>
        <b/>
        <sz val="11"/>
        <color theme="1"/>
        <rFont val="微软雅黑"/>
        <family val="2"/>
        <charset val="134"/>
      </rPr>
      <t>45%</t>
    </r>
    <r>
      <rPr>
        <sz val="11"/>
        <color theme="1"/>
        <rFont val="微软雅黑"/>
        <family val="2"/>
        <charset val="134"/>
      </rPr>
      <t>起；进一步下沉细分的目标，待IT完成新ERP渠道重构后落实（预计3月初完成重构上线）；</t>
    </r>
    <phoneticPr fontId="2" type="noConversion"/>
  </si>
  <si>
    <t>5. 数据库营销，考虑到用户的精准营销，预期目标的同比增幅将高于大盘，后续在整合新媒体渠道与目录渠道的IB/OB（新ERP渠道重构）后推进落实；</t>
    <phoneticPr fontId="2" type="noConversion"/>
  </si>
  <si>
    <t>6.除以上购物零售版块，结合公司对“适老”“社交”的中长期布局，后续将逐步梳理其他业务版块（旅行社、全球购、汽车、保险、其他收入、电子商务等）和新业务探索的目标设定。</t>
    <phoneticPr fontId="2" type="noConversion"/>
  </si>
  <si>
    <t>高单价、淡季、私域流量，一对一营销</t>
    <phoneticPr fontId="2" type="noConversion"/>
  </si>
  <si>
    <t>OTO增量</t>
    <phoneticPr fontId="2" type="noConversion"/>
  </si>
  <si>
    <t>大屏首发新品</t>
    <phoneticPr fontId="2" type="noConversion"/>
  </si>
  <si>
    <t>上半年尝试、下半年冲利润</t>
    <phoneticPr fontId="2" type="noConversion"/>
  </si>
  <si>
    <t>利润目标</t>
    <phoneticPr fontId="2" type="noConversion"/>
  </si>
  <si>
    <t>上年12月</t>
    <phoneticPr fontId="2" type="noConversion"/>
  </si>
  <si>
    <t>1月</t>
    <phoneticPr fontId="2" type="noConversion"/>
  </si>
  <si>
    <t>2月</t>
    <phoneticPr fontId="2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</si>
  <si>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</si>
  <si>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</si>
  <si>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</si>
  <si>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</si>
  <si>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</si>
  <si>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</si>
  <si>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</si>
  <si>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</si>
  <si>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</si>
  <si>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24年</t>
    <phoneticPr fontId="2" type="noConversion"/>
  </si>
  <si>
    <t>23年</t>
    <phoneticPr fontId="2" type="noConversion"/>
  </si>
  <si>
    <t>21年</t>
    <phoneticPr fontId="2" type="noConversion"/>
  </si>
  <si>
    <t>利润实际</t>
    <phoneticPr fontId="2" type="noConversion"/>
  </si>
  <si>
    <t>25年底限</t>
    <phoneticPr fontId="2" type="noConversion"/>
  </si>
  <si>
    <t>年月</t>
  </si>
  <si>
    <t>年月</t>
    <phoneticPr fontId="2" type="noConversion"/>
  </si>
  <si>
    <t>利润额</t>
  </si>
  <si>
    <t>利润额</t>
    <phoneticPr fontId="2" type="noConversion"/>
  </si>
  <si>
    <t>趋势预测(利润额)</t>
  </si>
  <si>
    <t>置信下限(利润额)</t>
  </si>
  <si>
    <t>置信上限(利润额)</t>
  </si>
  <si>
    <t>2025全年预测利润额</t>
    <phoneticPr fontId="2" type="noConversion"/>
  </si>
  <si>
    <t>2024年</t>
    <phoneticPr fontId="2" type="noConversion"/>
  </si>
  <si>
    <t>同比2024</t>
    <phoneticPr fontId="2" type="noConversion"/>
  </si>
  <si>
    <t>1月7月调整版</t>
    <phoneticPr fontId="2" type="noConversion"/>
  </si>
  <si>
    <t>12月</t>
    <phoneticPr fontId="2" type="noConversion"/>
  </si>
  <si>
    <t>1月取中、差额加到7月</t>
    <phoneticPr fontId="2" type="noConversion"/>
  </si>
  <si>
    <t>本地生活（旅行社）</t>
    <phoneticPr fontId="2" type="noConversion"/>
  </si>
  <si>
    <t>购物公司+本地生活</t>
    <phoneticPr fontId="2" type="noConversion"/>
  </si>
  <si>
    <t>季度占比二次调整</t>
    <phoneticPr fontId="2" type="noConversion"/>
  </si>
  <si>
    <t>购物零售（含本地生活）</t>
    <phoneticPr fontId="2" type="noConversion"/>
  </si>
  <si>
    <t>1月</t>
  </si>
  <si>
    <t>2月</t>
  </si>
  <si>
    <t>12月</t>
  </si>
  <si>
    <t>购物零售+本地生活</t>
    <phoneticPr fontId="2" type="noConversion"/>
  </si>
  <si>
    <t>购物零售（含本地生活）同比</t>
    <phoneticPr fontId="2" type="noConversion"/>
  </si>
  <si>
    <t>25年e</t>
    <phoneticPr fontId="2" type="noConversion"/>
  </si>
  <si>
    <t>全年</t>
    <phoneticPr fontId="2" type="noConversion"/>
  </si>
  <si>
    <t>销售</t>
    <phoneticPr fontId="2" type="noConversion"/>
  </si>
  <si>
    <t>利润</t>
    <phoneticPr fontId="2" type="noConversion"/>
  </si>
  <si>
    <t>参考毛利率</t>
    <phoneticPr fontId="2" type="noConversion"/>
  </si>
  <si>
    <t>销售占比</t>
    <phoneticPr fontId="2" type="noConversion"/>
  </si>
  <si>
    <t>利润占比</t>
    <phoneticPr fontId="2" type="noConversion"/>
  </si>
  <si>
    <t>销售同比</t>
    <phoneticPr fontId="2" type="noConversion"/>
  </si>
  <si>
    <t>利润同比</t>
    <phoneticPr fontId="2" type="noConversion"/>
  </si>
  <si>
    <t>2024实际</t>
    <phoneticPr fontId="2" type="noConversion"/>
  </si>
  <si>
    <t>利润同比24年实际</t>
    <phoneticPr fontId="2" type="noConversion"/>
  </si>
  <si>
    <t>3月</t>
    <phoneticPr fontId="2" type="noConversion"/>
  </si>
  <si>
    <t>* 12月财务底线</t>
    <phoneticPr fontId="2" type="noConversion"/>
  </si>
  <si>
    <t>* 12月业务预测</t>
    <phoneticPr fontId="2" type="noConversion"/>
  </si>
  <si>
    <t>合计</t>
    <phoneticPr fontId="2" type="noConversion"/>
  </si>
  <si>
    <t>报OPG P1利润</t>
    <phoneticPr fontId="2" type="noConversion"/>
  </si>
  <si>
    <t>计划P1目标</t>
    <phoneticPr fontId="2" type="noConversion"/>
  </si>
  <si>
    <t>同比降幅控制</t>
    <phoneticPr fontId="2" type="noConversion"/>
  </si>
  <si>
    <t>2. 25年分月利润比重按24年权重60%，23年权重40%计算；</t>
    <phoneticPr fontId="2" type="noConversion"/>
  </si>
  <si>
    <t>利润占比
（年度权重64开）</t>
    <phoneticPr fontId="2" type="noConversion"/>
  </si>
  <si>
    <t>本页所有口径：购物零售+本地生活</t>
    <phoneticPr fontId="2" type="noConversion"/>
  </si>
  <si>
    <t>24年占比</t>
    <phoneticPr fontId="2" type="noConversion"/>
  </si>
  <si>
    <t>23年占比</t>
    <phoneticPr fontId="2" type="noConversion"/>
  </si>
  <si>
    <t>2025建议权重</t>
    <phoneticPr fontId="2" type="noConversion"/>
  </si>
  <si>
    <t>2025年 存量业务利润底限 按季度 分配方案（拟）</t>
    <phoneticPr fontId="2" type="noConversion"/>
  </si>
  <si>
    <t>方案一（原）：</t>
    <phoneticPr fontId="2" type="noConversion"/>
  </si>
  <si>
    <t>自营旅游按全年销售额1200万、利润181万计（两年权重4:6）</t>
    <phoneticPr fontId="2" type="noConversion"/>
  </si>
  <si>
    <t>25年建议配比（拟）</t>
    <phoneticPr fontId="2" type="noConversion"/>
  </si>
  <si>
    <t xml:space="preserve">Q1 </t>
    <phoneticPr fontId="2" type="noConversion"/>
  </si>
  <si>
    <t>Q2</t>
    <phoneticPr fontId="2" type="noConversion"/>
  </si>
  <si>
    <t xml:space="preserve">Q3 </t>
    <phoneticPr fontId="2" type="noConversion"/>
  </si>
  <si>
    <t xml:space="preserve">Q4 </t>
    <phoneticPr fontId="2" type="noConversion"/>
  </si>
  <si>
    <t>上半年</t>
    <phoneticPr fontId="2" type="noConversion"/>
  </si>
  <si>
    <t>下半年</t>
    <phoneticPr fontId="2" type="noConversion"/>
  </si>
  <si>
    <t>25年比重：</t>
    <phoneticPr fontId="2" type="noConversion"/>
  </si>
  <si>
    <t>P1</t>
    <phoneticPr fontId="2" type="noConversion"/>
  </si>
  <si>
    <t>* 25年按24年权重60%，23年权重40%计算</t>
    <phoneticPr fontId="2" type="noConversion"/>
  </si>
  <si>
    <t>存量合计</t>
    <phoneticPr fontId="2" type="noConversion"/>
  </si>
  <si>
    <t>* Q1是考虑春节、直播调整、2月天数等影响后的低值；实应27.5%，参考附表（历史数据）；</t>
    <phoneticPr fontId="2" type="noConversion"/>
  </si>
  <si>
    <t>方案二（调整）：</t>
    <phoneticPr fontId="2" type="noConversion"/>
  </si>
  <si>
    <t>自营旅游按全年销售额1000万、利润150万计</t>
    <phoneticPr fontId="2" type="noConversion"/>
  </si>
  <si>
    <t>差额补计入P1旅游代销（两年权重4:6）</t>
    <phoneticPr fontId="2" type="noConversion"/>
  </si>
  <si>
    <t>附：渠道运营中心分配版本</t>
    <phoneticPr fontId="2" type="noConversion"/>
  </si>
  <si>
    <t>低*</t>
    <phoneticPr fontId="2" type="noConversion"/>
  </si>
  <si>
    <t>略低</t>
    <phoneticPr fontId="2" type="noConversion"/>
  </si>
  <si>
    <t>过高</t>
    <phoneticPr fontId="2" type="noConversion"/>
  </si>
  <si>
    <t>*注：2021、2023、2024年三年可参考数据，Q1比重底限为27.3%，且Q1占比高于Q4；</t>
    <phoneticPr fontId="2" type="noConversion"/>
  </si>
  <si>
    <t>附表：历史数据</t>
    <phoneticPr fontId="2" type="noConversion"/>
  </si>
  <si>
    <t>实际值</t>
    <phoneticPr fontId="2" type="noConversion"/>
  </si>
  <si>
    <t>24年（11-12月按实际完成情况预测）</t>
    <phoneticPr fontId="2" type="noConversion"/>
  </si>
  <si>
    <t>24年业绩参考（11-12月按实际完成情况预测，且考虑年度总天数影响）</t>
    <phoneticPr fontId="2" type="noConversion"/>
  </si>
  <si>
    <t>11月实际、12月预测</t>
    <phoneticPr fontId="2" type="noConversion"/>
  </si>
  <si>
    <t>Q4 e</t>
    <phoneticPr fontId="2" type="noConversion"/>
  </si>
  <si>
    <t>Q4</t>
    <phoneticPr fontId="2" type="noConversion"/>
  </si>
  <si>
    <t>按年度减1天计Q1</t>
    <phoneticPr fontId="2" type="noConversion"/>
  </si>
  <si>
    <t>两年加权后</t>
    <phoneticPr fontId="2" type="noConversion"/>
  </si>
  <si>
    <t>P1利润实际</t>
    <phoneticPr fontId="2" type="noConversion"/>
  </si>
  <si>
    <t>P1实际利润占比
（366天）</t>
    <phoneticPr fontId="2" type="noConversion"/>
  </si>
  <si>
    <t>双12上涨42%</t>
    <phoneticPr fontId="2" type="noConversion"/>
  </si>
  <si>
    <t>P1实际利润占比
（365天）</t>
    <phoneticPr fontId="2" type="noConversion"/>
  </si>
  <si>
    <t>按年度减1天计</t>
    <phoneticPr fontId="2" type="noConversion"/>
  </si>
  <si>
    <t>考虑天数后的配比</t>
    <phoneticPr fontId="2" type="noConversion"/>
  </si>
  <si>
    <t>24年（11-12月按达成财务预测底限）</t>
    <phoneticPr fontId="2" type="noConversion"/>
  </si>
  <si>
    <t>24年业绩参考（11-12月按达成财务预测底限）</t>
    <phoneticPr fontId="2" type="noConversion"/>
  </si>
  <si>
    <t>Q1减少一天</t>
    <phoneticPr fontId="2" type="noConversion"/>
  </si>
  <si>
    <t>旅游（参考代销）</t>
    <phoneticPr fontId="2" type="noConversion"/>
  </si>
  <si>
    <t>23年业绩参考</t>
    <phoneticPr fontId="2" type="noConversion"/>
  </si>
  <si>
    <t>21年业绩参考</t>
    <phoneticPr fontId="2" type="noConversion"/>
  </si>
  <si>
    <t>2019-2020年业绩参考</t>
    <phoneticPr fontId="2" type="noConversion"/>
  </si>
  <si>
    <t>2020年</t>
    <phoneticPr fontId="2" type="noConversion"/>
  </si>
  <si>
    <t>2019年</t>
    <phoneticPr fontId="2" type="noConversion"/>
  </si>
  <si>
    <t>2023年</t>
  </si>
  <si>
    <t>目标</t>
    <phoneticPr fontId="14" type="noConversion"/>
  </si>
  <si>
    <t>实绩</t>
    <phoneticPr fontId="14" type="noConversion"/>
  </si>
  <si>
    <t>实绩（购物零售）</t>
    <phoneticPr fontId="14" type="noConversion"/>
  </si>
  <si>
    <t>实绩（本地生活）</t>
    <phoneticPr fontId="14" type="noConversion"/>
  </si>
  <si>
    <t>过年时间</t>
    <phoneticPr fontId="14" type="noConversion"/>
  </si>
  <si>
    <t>销售</t>
    <phoneticPr fontId="14" type="noConversion"/>
  </si>
  <si>
    <t>利润</t>
    <phoneticPr fontId="14" type="noConversion"/>
  </si>
  <si>
    <t>2.11-2.17（7D）</t>
    <phoneticPr fontId="14" type="noConversion"/>
  </si>
  <si>
    <t>2021年</t>
    <phoneticPr fontId="14" type="noConversion"/>
  </si>
  <si>
    <t>1月</t>
    <phoneticPr fontId="14" type="noConversion"/>
  </si>
  <si>
    <t>2.11 除夕</t>
    <phoneticPr fontId="14" type="noConversion"/>
  </si>
  <si>
    <t>2月</t>
    <phoneticPr fontId="14" type="noConversion"/>
  </si>
  <si>
    <t>1-2月</t>
    <phoneticPr fontId="14" type="noConversion"/>
  </si>
  <si>
    <t>1.31-2.6（7D）</t>
    <phoneticPr fontId="14" type="noConversion"/>
  </si>
  <si>
    <t>2022年</t>
    <phoneticPr fontId="14" type="noConversion"/>
  </si>
  <si>
    <t>1.31 除夕</t>
    <phoneticPr fontId="14" type="noConversion"/>
  </si>
  <si>
    <t>1-2月</t>
  </si>
  <si>
    <t>1.21-1.27（7D）</t>
    <phoneticPr fontId="14" type="noConversion"/>
  </si>
  <si>
    <t>2023年</t>
    <phoneticPr fontId="14" type="noConversion"/>
  </si>
  <si>
    <t>1.21 除夕</t>
    <phoneticPr fontId="14" type="noConversion"/>
  </si>
  <si>
    <t>2.10-2.17（8D）</t>
    <phoneticPr fontId="14" type="noConversion"/>
  </si>
  <si>
    <t>2024年</t>
    <phoneticPr fontId="14" type="noConversion"/>
  </si>
  <si>
    <t>2.10 初一</t>
    <phoneticPr fontId="14" type="noConversion"/>
  </si>
  <si>
    <t>1.28-2.4（8D）</t>
    <phoneticPr fontId="14" type="noConversion"/>
  </si>
  <si>
    <t>2025年e</t>
    <phoneticPr fontId="14" type="noConversion"/>
  </si>
  <si>
    <t>1.28 除夕</t>
    <phoneticPr fontId="14" type="noConversion"/>
  </si>
  <si>
    <t>利润目标同比降幅</t>
    <phoneticPr fontId="14" type="noConversion"/>
  </si>
  <si>
    <t>2022年
同比降幅</t>
    <phoneticPr fontId="14" type="noConversion"/>
  </si>
  <si>
    <t>2023年
同比降幅</t>
    <phoneticPr fontId="14" type="noConversion"/>
  </si>
  <si>
    <t>2024年
同比降幅</t>
    <phoneticPr fontId="14" type="noConversion"/>
  </si>
  <si>
    <t>2025年e
同比降幅</t>
    <phoneticPr fontId="14" type="noConversion"/>
  </si>
  <si>
    <t>* 22年春节：1.31-2.6，年度内因疫情管控，数据不做参考</t>
    <phoneticPr fontId="2" type="noConversion"/>
  </si>
  <si>
    <t>* 25年春节：1.28-2.4（类似2023年，但23年春节全部在1月，故当年1月降幅46%）</t>
    <phoneticPr fontId="2" type="noConversion"/>
  </si>
  <si>
    <t>环比12月下降22%</t>
    <phoneticPr fontId="2" type="noConversion"/>
  </si>
  <si>
    <t>环比12月下降45%</t>
    <phoneticPr fontId="2" type="noConversion"/>
  </si>
  <si>
    <t>环比12月下降11%</t>
    <phoneticPr fontId="2" type="noConversion"/>
  </si>
  <si>
    <t>环比12月增长9.4%</t>
    <phoneticPr fontId="2" type="noConversion"/>
  </si>
  <si>
    <t>24年实际</t>
    <phoneticPr fontId="2" type="noConversion"/>
  </si>
  <si>
    <t>23年实际</t>
    <phoneticPr fontId="2" type="noConversion"/>
  </si>
  <si>
    <t>21年实际</t>
    <phoneticPr fontId="2" type="noConversion"/>
  </si>
  <si>
    <t>利润目标环比目标</t>
    <phoneticPr fontId="2" type="noConversion"/>
  </si>
  <si>
    <t>25年目标底限</t>
    <phoneticPr fontId="2" type="noConversion"/>
  </si>
  <si>
    <t>12月</t>
    <phoneticPr fontId="2" type="noConversion"/>
  </si>
  <si>
    <t>24年目标</t>
    <phoneticPr fontId="2" type="noConversion"/>
  </si>
  <si>
    <t>购物零售(含本地生活)</t>
  </si>
  <si>
    <t>购物零售(含本地生活)</t>
    <phoneticPr fontId="2" type="noConversion"/>
  </si>
  <si>
    <t>* 方案一：
财务底线预测</t>
    <phoneticPr fontId="2" type="noConversion"/>
  </si>
  <si>
    <t>* 方案二：
控制降幅</t>
    <phoneticPr fontId="2" type="noConversion"/>
  </si>
  <si>
    <t>2025年</t>
    <phoneticPr fontId="2" type="noConversion"/>
  </si>
  <si>
    <t>利润目标同比目标</t>
    <phoneticPr fontId="2" type="noConversion"/>
  </si>
  <si>
    <t>利润目标同比实际</t>
    <phoneticPr fontId="2" type="noConversion"/>
  </si>
  <si>
    <t>备注</t>
    <phoneticPr fontId="2" type="noConversion"/>
  </si>
  <si>
    <t>上报OPG版，日均利润额为147.8万；目标方案取高，日均170万，年中调整到165万（业务板块间调整），较财务底限上调11.6%-15%；</t>
    <phoneticPr fontId="2" type="noConversion"/>
  </si>
  <si>
    <t>剔除疫情影响天数，同比持平/同比增长5.5%</t>
    <phoneticPr fontId="2" type="noConversion"/>
  </si>
  <si>
    <t>上报OPG版，日均利润额为62.6万;</t>
    <phoneticPr fontId="2" type="noConversion"/>
  </si>
  <si>
    <t>参考：底限↑ 10%</t>
    <phoneticPr fontId="2" type="noConversion"/>
  </si>
  <si>
    <t>参考：2023年上报OPG版，日均利润额147.8万；目标方案取高，日均170万，年中调整到165万（业务板块间调整），较财务底限上调11.6%-15%；</t>
    <phoneticPr fontId="2" type="noConversion"/>
  </si>
  <si>
    <t>框定：TV电视商品下降15%、IC电商商品增长10%，购物零售较2023年实际合计下降12%；</t>
    <phoneticPr fontId="2" type="noConversion"/>
  </si>
  <si>
    <t>参考：2024年实际 ↓10%</t>
    <phoneticPr fontId="2" type="noConversion"/>
  </si>
  <si>
    <t>参考：2024年目标框定：TV电视商品下降15%、IC电商商品增长10%，购物零售较2023年实际合计下降12%；</t>
    <phoneticPr fontId="2" type="noConversion"/>
  </si>
  <si>
    <t>* 25年春节：1.28-2.4</t>
    <phoneticPr fontId="2" type="noConversion"/>
  </si>
  <si>
    <t>23年目标</t>
    <phoneticPr fontId="2" type="noConversion"/>
  </si>
  <si>
    <t>22年目标</t>
    <phoneticPr fontId="2" type="noConversion"/>
  </si>
  <si>
    <t>21年目标</t>
    <phoneticPr fontId="2" type="noConversion"/>
  </si>
  <si>
    <t>日期</t>
  </si>
  <si>
    <t>订购数量</t>
    <phoneticPr fontId="2" type="noConversion"/>
  </si>
  <si>
    <t>订购金额</t>
    <phoneticPr fontId="2" type="noConversion"/>
  </si>
  <si>
    <t>2024年预估</t>
    <phoneticPr fontId="2" type="noConversion"/>
  </si>
  <si>
    <t>数量</t>
    <phoneticPr fontId="2" type="noConversion"/>
  </si>
  <si>
    <t>金额</t>
    <phoneticPr fontId="2" type="noConversion"/>
  </si>
  <si>
    <t>2025年预估</t>
    <phoneticPr fontId="2" type="noConversion"/>
  </si>
  <si>
    <t>统计口径：购物零售+全球购+旅行社</t>
    <phoneticPr fontId="2" type="noConversion"/>
  </si>
  <si>
    <t>2024年截至12.12</t>
    <phoneticPr fontId="2" type="noConversion"/>
  </si>
  <si>
    <t>平均单价</t>
    <phoneticPr fontId="2" type="noConversion"/>
  </si>
  <si>
    <t>2025购物零售
(含本地生活)</t>
    <phoneticPr fontId="2" type="noConversion"/>
  </si>
  <si>
    <r>
      <t>* 25年春节放假期间：1.28-2.4；</t>
    </r>
    <r>
      <rPr>
        <sz val="11"/>
        <color rgb="FFFF0000"/>
        <rFont val="微软雅黑"/>
        <family val="2"/>
        <charset val="134"/>
      </rPr>
      <t>本页所有口径：购物零售+本地生活</t>
    </r>
    <phoneticPr fontId="2" type="noConversion"/>
  </si>
  <si>
    <t>目标区间上限</t>
    <phoneticPr fontId="2" type="noConversion"/>
  </si>
  <si>
    <t>3. 25年毛利率按 27.5%计；25年分月销售额按毛利率反推；</t>
    <phoneticPr fontId="2" type="noConversion"/>
  </si>
  <si>
    <t>方案二思路：</t>
    <phoneticPr fontId="2" type="noConversion"/>
  </si>
  <si>
    <t>财务底限目标P1，同比24年实际业绩，降幅24.0%</t>
    <phoneticPr fontId="2" type="noConversion"/>
  </si>
  <si>
    <t>2023年达成情况</t>
    <phoneticPr fontId="2" type="noConversion"/>
  </si>
  <si>
    <t>自营旅游折返30万利润</t>
    <phoneticPr fontId="2" type="noConversion"/>
  </si>
  <si>
    <t>注：购物零售2025年利润底限，以2024年度”购物零售+本地生活“占P1比重（ 93.3%）推算；2024年旅行社下“本地生活类”（消费服务不含住宿）利润额364万；</t>
    <phoneticPr fontId="2" type="noConversion"/>
  </si>
  <si>
    <t>2024年12月利润</t>
    <phoneticPr fontId="2" type="noConversion"/>
  </si>
  <si>
    <t>P1</t>
    <phoneticPr fontId="2" type="noConversion"/>
  </si>
  <si>
    <t>购物零售</t>
    <phoneticPr fontId="2" type="noConversion"/>
  </si>
  <si>
    <t>日期</t>
    <phoneticPr fontId="2" type="noConversion"/>
  </si>
  <si>
    <t>12月预测</t>
    <phoneticPr fontId="2" type="noConversion"/>
  </si>
  <si>
    <t>1-11月实际</t>
    <phoneticPr fontId="2" type="noConversion"/>
  </si>
  <si>
    <t>1月</t>
    <phoneticPr fontId="2" type="noConversion"/>
  </si>
  <si>
    <t>2月</t>
    <phoneticPr fontId="2" type="noConversion"/>
  </si>
  <si>
    <t>旅行社本地生活</t>
    <phoneticPr fontId="2" type="noConversion"/>
  </si>
  <si>
    <t>2024年度实际</t>
    <phoneticPr fontId="2" type="noConversion"/>
  </si>
  <si>
    <t>购物零售+本地生活</t>
    <phoneticPr fontId="2" type="noConversion"/>
  </si>
  <si>
    <t>不要跟P1弄混</t>
    <phoneticPr fontId="2" type="noConversion"/>
  </si>
  <si>
    <t>同比降幅</t>
    <phoneticPr fontId="2" type="noConversion"/>
  </si>
  <si>
    <t>购物零售同比(含本地生活)</t>
    <phoneticPr fontId="2" type="noConversion"/>
  </si>
  <si>
    <r>
      <t>1. 购物零售24年实际利润同比↓ 26.3%，考虑大屏直播有效时长，2024年导流类/东方荟普通商品/汽车等占比6.2%、电视商品贡献占比88%，时长因素影响5.5个百分点，</t>
    </r>
    <r>
      <rPr>
        <b/>
        <sz val="11"/>
        <color rgb="FFC00000"/>
        <rFont val="微软雅黑"/>
        <family val="2"/>
        <charset val="134"/>
      </rPr>
      <t>取 -20.8%作为25年预估降幅</t>
    </r>
    <r>
      <rPr>
        <sz val="11"/>
        <rFont val="微软雅黑"/>
        <family val="2"/>
        <charset val="134"/>
      </rPr>
      <t>；</t>
    </r>
    <phoneticPr fontId="2" type="noConversion"/>
  </si>
  <si>
    <t>底限11月</t>
    <phoneticPr fontId="2" type="noConversion"/>
  </si>
  <si>
    <t>底限12月</t>
    <phoneticPr fontId="2" type="noConversion"/>
  </si>
  <si>
    <t>P1利润额</t>
    <phoneticPr fontId="2" type="noConversion"/>
  </si>
  <si>
    <t>按季度</t>
    <phoneticPr fontId="2" type="noConversion"/>
  </si>
  <si>
    <t>12月实际预测低于底限</t>
    <phoneticPr fontId="2" type="noConversion"/>
  </si>
  <si>
    <t>25年方案二</t>
    <phoneticPr fontId="2" type="noConversion"/>
  </si>
  <si>
    <t>实际利润（购物零售+本地生活）</t>
    <phoneticPr fontId="2" type="noConversion"/>
  </si>
  <si>
    <t>数据库营销</t>
    <phoneticPr fontId="2" type="noConversion"/>
  </si>
  <si>
    <t>毛利率</t>
    <phoneticPr fontId="2" type="noConversion"/>
  </si>
  <si>
    <t>销售金额</t>
  </si>
  <si>
    <t>合计</t>
  </si>
  <si>
    <t>H1</t>
    <phoneticPr fontId="2" type="noConversion"/>
  </si>
  <si>
    <t>H2</t>
    <phoneticPr fontId="2" type="noConversion"/>
  </si>
  <si>
    <t>Q1</t>
    <phoneticPr fontId="2" type="noConversion"/>
  </si>
  <si>
    <t>Q3</t>
    <phoneticPr fontId="2" type="noConversion"/>
  </si>
  <si>
    <t>电商商品</t>
    <phoneticPr fontId="2" type="noConversion"/>
  </si>
  <si>
    <t>电视端及APP业务
（含自营业务）</t>
    <phoneticPr fontId="2" type="noConversion"/>
  </si>
  <si>
    <t>电视商品
（含自营业务）</t>
    <phoneticPr fontId="2" type="noConversion"/>
  </si>
  <si>
    <t>私域</t>
  </si>
  <si>
    <t>私域第三方</t>
  </si>
  <si>
    <t>私域第三方</t>
    <phoneticPr fontId="2" type="noConversion"/>
  </si>
  <si>
    <t>参考税率</t>
    <phoneticPr fontId="2" type="noConversion"/>
  </si>
  <si>
    <t>2025年实际</t>
    <phoneticPr fontId="2" type="noConversion"/>
  </si>
  <si>
    <t>2025年达成</t>
    <phoneticPr fontId="2" type="noConversion"/>
  </si>
  <si>
    <t>2025年销售目标</t>
    <phoneticPr fontId="2" type="noConversion"/>
  </si>
  <si>
    <t>2025年利润目标</t>
    <phoneticPr fontId="2" type="noConversion"/>
  </si>
  <si>
    <t>2025年目标毛利率</t>
    <phoneticPr fontId="2" type="noConversion"/>
  </si>
  <si>
    <t>1.1-11.20月缺口</t>
    <phoneticPr fontId="2" type="noConversion"/>
  </si>
  <si>
    <t>1-11月目标</t>
    <phoneticPr fontId="2" type="noConversion"/>
  </si>
  <si>
    <t>移动端 实际GMV</t>
    <phoneticPr fontId="2" type="noConversion"/>
  </si>
  <si>
    <t>移动端 目标GMV</t>
    <phoneticPr fontId="2" type="noConversion"/>
  </si>
  <si>
    <t>私域</t>
    <phoneticPr fontId="2" type="noConversion"/>
  </si>
  <si>
    <t>利润金额</t>
    <phoneticPr fontId="2" type="noConversion"/>
  </si>
  <si>
    <t>存量整体</t>
    <phoneticPr fontId="2" type="noConversion"/>
  </si>
  <si>
    <t>利润额占比</t>
    <phoneticPr fontId="2" type="noConversion"/>
  </si>
  <si>
    <t>2026年</t>
  </si>
  <si>
    <t>天数</t>
    <phoneticPr fontId="2" type="noConversion"/>
  </si>
  <si>
    <t>日均环比</t>
    <phoneticPr fontId="2" type="noConversion"/>
  </si>
  <si>
    <t>仅电视端及APP业务
（含自营业务）</t>
    <phoneticPr fontId="2" type="noConversion"/>
  </si>
  <si>
    <t>趋势环比</t>
    <phoneticPr fontId="2" type="noConversion"/>
  </si>
  <si>
    <t>25年实际</t>
    <phoneticPr fontId="2" type="noConversion"/>
  </si>
  <si>
    <t>1电视及APP业务（含自营旅游）</t>
    <phoneticPr fontId="2" type="noConversion"/>
  </si>
  <si>
    <t>7数据库营销</t>
    <phoneticPr fontId="2" type="noConversion"/>
  </si>
  <si>
    <t>8私域整体</t>
    <phoneticPr fontId="2" type="noConversion"/>
  </si>
  <si>
    <t>9私域-东购商品</t>
    <phoneticPr fontId="2" type="noConversion"/>
  </si>
  <si>
    <t>10私域-第三方</t>
    <phoneticPr fontId="2" type="noConversion"/>
  </si>
  <si>
    <t>25年口径</t>
    <phoneticPr fontId="2" type="noConversion"/>
  </si>
  <si>
    <t>26年口径</t>
    <phoneticPr fontId="2" type="noConversion"/>
  </si>
  <si>
    <t>check</t>
    <phoneticPr fontId="2" type="noConversion"/>
  </si>
  <si>
    <t>12月e</t>
    <phoneticPr fontId="2" type="noConversion"/>
  </si>
  <si>
    <t>销售额占比</t>
    <phoneticPr fontId="2" type="noConversion"/>
  </si>
  <si>
    <t>日均销售额</t>
    <phoneticPr fontId="2" type="noConversion"/>
  </si>
  <si>
    <t>日均利润额</t>
    <phoneticPr fontId="2" type="noConversion"/>
  </si>
  <si>
    <t>手动毛利率</t>
    <phoneticPr fontId="2" type="noConversion"/>
  </si>
  <si>
    <t>25年单月最高日均基数</t>
    <phoneticPr fontId="2" type="noConversion"/>
  </si>
  <si>
    <t>税率</t>
    <phoneticPr fontId="2" type="noConversion"/>
  </si>
  <si>
    <t>利润金额环比</t>
    <phoneticPr fontId="2" type="noConversion"/>
  </si>
  <si>
    <t>日均利润环比</t>
    <phoneticPr fontId="2" type="noConversion"/>
  </si>
  <si>
    <t>利润金额</t>
  </si>
  <si>
    <t>存量整体</t>
  </si>
  <si>
    <t>仅电视端及APP业务
（含自营业务）</t>
  </si>
  <si>
    <t>数据库营销</t>
  </si>
  <si>
    <t>预测26年</t>
    <phoneticPr fontId="2" type="noConversion"/>
  </si>
  <si>
    <t>日均占比</t>
    <phoneticPr fontId="2" type="noConversion"/>
  </si>
  <si>
    <t>基础版</t>
    <phoneticPr fontId="2" type="noConversion"/>
  </si>
  <si>
    <t>业务非常规举措版</t>
    <phoneticPr fontId="2" type="noConversion"/>
  </si>
  <si>
    <t>Q1</t>
  </si>
  <si>
    <t>利润目标</t>
  </si>
  <si>
    <t>预测达成率</t>
  </si>
  <si>
    <t>预测达成率</t>
    <phoneticPr fontId="2" type="noConversion"/>
  </si>
  <si>
    <t>业务增额部分</t>
    <phoneticPr fontId="2" type="noConversion"/>
  </si>
  <si>
    <t>参考24年日均环比</t>
    <phoneticPr fontId="2" type="noConversion"/>
  </si>
  <si>
    <t>26年涨幅</t>
  </si>
  <si>
    <t>25年最高月日均利润</t>
  </si>
  <si>
    <t>存量整体 = 仅电视端及APP业务（含自营业务）+ 数据库营销 + 私域整体；</t>
    <phoneticPr fontId="2" type="noConversion"/>
  </si>
  <si>
    <t>4. 业务非常规举措版是在以上基础逻辑之上，再加上业务预计实施非常规举措后可额外提升的利润。</t>
    <phoneticPr fontId="2" type="noConversion"/>
  </si>
  <si>
    <t>25年实际利润</t>
    <phoneticPr fontId="2" type="noConversion"/>
  </si>
  <si>
    <t>1.考虑历史数据取值的问题，年度总目标*2025年各月度占比</t>
    <phoneticPr fontId="2" type="noConversion"/>
  </si>
  <si>
    <t>3.考虑目前无额外举措与增长性抓手，且25年上下半年已呈现46%：54%的权重配比，因此26年月度占比仍参考2025年，考虑公司整体目标的达成情况，不建议继续将更多目标分摊到下半年</t>
    <phoneticPr fontId="2" type="noConversion"/>
  </si>
  <si>
    <t>4.求和计算存量月度目标</t>
    <phoneticPr fontId="2" type="noConversion"/>
  </si>
  <si>
    <t>5.验证按历史当年权重配比的月度占比，是否趋势一致</t>
    <phoneticPr fontId="2" type="noConversion"/>
  </si>
  <si>
    <t>25年利润实际</t>
    <phoneticPr fontId="2" type="noConversion"/>
  </si>
  <si>
    <t>1. 仅电视端及APP业务（含自营业务）：参考24年1-3月的日均环比，结合25年12月预估值，计算得到25年1-3月的实际趋势；</t>
    <phoneticPr fontId="2" type="noConversion"/>
  </si>
  <si>
    <t>2. 数据库营销：按25年实际日均利润预估；其中，2月考虑春节因素，参照历史趋势，日均利润按环比下降18%估算；</t>
    <phoneticPr fontId="2" type="noConversion"/>
  </si>
  <si>
    <t>3. 私域整体：按25年实际日均利润预估；</t>
    <phoneticPr fontId="2" type="noConversion"/>
  </si>
  <si>
    <t>预测实际同比</t>
    <phoneticPr fontId="2" type="noConversion"/>
  </si>
  <si>
    <t>关于私域目标：</t>
    <phoneticPr fontId="2" type="noConversion"/>
  </si>
  <si>
    <t>1. 私域2026年总体目标1200万中：2025年各渠道整体800万（含快团团），同比持平；增长的400万主要集中在“公域转私域”渠道。快团团与公域转私域数据，目前不进入ERP，不涉及双计；</t>
    <phoneticPr fontId="2" type="noConversion"/>
  </si>
  <si>
    <t>4. 存量整体月度比重，1-2月较按趋势模式的比重略低（影响0.36个点），主要受私域一季度目标占比较低影响。</t>
    <phoneticPr fontId="2" type="noConversion"/>
  </si>
  <si>
    <t>3. 目前设计方案，1-2月考虑春节因素，一季度维持25年下半年月均水平，二季度开始提升；</t>
    <phoneticPr fontId="2" type="noConversion"/>
  </si>
  <si>
    <t xml:space="preserve">2. 上下半年的目标配比数据：（1）2025年上下半年比重46:54；（2）26年上半年目标总额，拟持平25年下半年，其他计入下半年，比重为36：64；（3）业务提供的方案，上半年占比仅33.9%、比重过低，对公司完成度有较大风险；
</t>
    <phoneticPr fontId="2" type="noConversion"/>
  </si>
  <si>
    <t>2026年目标分解初步方案（拟）</t>
    <phoneticPr fontId="2" type="noConversion"/>
  </si>
  <si>
    <t>一、目标分解思路</t>
    <phoneticPr fontId="2" type="noConversion"/>
  </si>
  <si>
    <t>二、第一季度业绩预测</t>
    <phoneticPr fontId="2" type="noConversion"/>
  </si>
  <si>
    <t>（一）基本规则：</t>
    <phoneticPr fontId="2" type="noConversion"/>
  </si>
  <si>
    <t>1.为确保公司整体目标的达成进度，各渠道均参考历史月度比重，避免将目标重心全部分摊到下半年，减少公司风险。</t>
    <phoneticPr fontId="2" type="noConversion"/>
  </si>
  <si>
    <t>3.从存量整体角度，盘点2023-2025近三年的月度趋势，按1:2:3（即：17%：33%：50%）的权重，初步形成整体的月度目标分配，用于校验分渠道目标之和。</t>
    <phoneticPr fontId="2" type="noConversion"/>
  </si>
  <si>
    <t>（二）分渠道规则：</t>
    <phoneticPr fontId="2" type="noConversion"/>
  </si>
  <si>
    <t>26年销售额目标</t>
    <phoneticPr fontId="2" type="noConversion"/>
  </si>
  <si>
    <t>26年销售利润目标</t>
    <phoneticPr fontId="2" type="noConversion"/>
  </si>
  <si>
    <t>26年毛利率目标</t>
    <phoneticPr fontId="2" type="noConversion"/>
  </si>
  <si>
    <t>2. 数据库营销：同比增长4%左右。</t>
    <phoneticPr fontId="2" type="noConversion"/>
  </si>
  <si>
    <t>考虑业务结构的相似性与可参考性，2026年目标分配主要参考2025各月占比；</t>
    <phoneticPr fontId="2" type="noConversion"/>
  </si>
  <si>
    <t>3. 私域整体：同比增长50%，其中公域转私域为新增渠道、增量400万（不涉及双计）；其他渠道合计800万（快团团不涉及双计），持平2025年。</t>
    <phoneticPr fontId="2" type="noConversion"/>
  </si>
  <si>
    <t>4.按存量整体趋势的客观分配，上半年占比51.4%；依据分渠道规则设定的目标，上半年合计占比51.3%；两种方案比重趋势吻合。</t>
    <phoneticPr fontId="2" type="noConversion"/>
  </si>
  <si>
    <t>26年利润目标同比25年实际</t>
    <phoneticPr fontId="2" type="noConversion"/>
  </si>
  <si>
    <t>2026年目标同比2025年</t>
    <phoneticPr fontId="2" type="noConversion"/>
  </si>
  <si>
    <t>1-2月合计</t>
    <phoneticPr fontId="2" type="noConversion"/>
  </si>
  <si>
    <t>仅电视及APP 同比下降15%</t>
    <phoneticPr fontId="2" type="noConversion"/>
  </si>
  <si>
    <t>数据库营销同比增长4%</t>
    <phoneticPr fontId="2" type="noConversion"/>
  </si>
  <si>
    <t>私域同比增长</t>
    <phoneticPr fontId="2" type="noConversion"/>
  </si>
  <si>
    <t>仅电视端及APP业务
（含自营业务）同比下降15%</t>
    <phoneticPr fontId="2" type="noConversion"/>
  </si>
  <si>
    <t>比重逻辑修改</t>
    <phoneticPr fontId="2" type="noConversion"/>
  </si>
  <si>
    <t>(三)1-2月目标：</t>
    <phoneticPr fontId="2" type="noConversion"/>
  </si>
  <si>
    <r>
      <rPr>
        <b/>
        <sz val="14"/>
        <color theme="1"/>
        <rFont val="微软雅黑"/>
        <family val="2"/>
        <charset val="134"/>
      </rPr>
      <t>1. 仅电视端及APP业务（含自营业务）</t>
    </r>
    <r>
      <rPr>
        <sz val="14"/>
        <color theme="1"/>
        <rFont val="微软雅黑"/>
        <family val="2"/>
        <charset val="134"/>
      </rPr>
      <t>：同比下降9%左右，具体降幅与实际完成情况相关。</t>
    </r>
    <phoneticPr fontId="2" type="noConversion"/>
  </si>
  <si>
    <r>
      <rPr>
        <b/>
        <sz val="14"/>
        <color theme="1"/>
        <rFont val="微软雅黑"/>
        <family val="2"/>
        <charset val="134"/>
      </rPr>
      <t>1. 仅电视端及APP业务（含自营业务）</t>
    </r>
    <r>
      <rPr>
        <sz val="14"/>
        <color theme="1"/>
        <rFont val="微软雅黑"/>
        <family val="2"/>
        <charset val="134"/>
      </rPr>
      <t>：1-2月仍然同比下降15%初步拟定目标；</t>
    </r>
    <phoneticPr fontId="2" type="noConversion"/>
  </si>
  <si>
    <t>2.复盘2025年度各渠道目标执行情况</t>
    <phoneticPr fontId="2" type="noConversion"/>
  </si>
  <si>
    <t>存量整体、电视商品、数据库营销上半年占比均超50%（51%-55%），私域整体及第三方上半年占比43%、46%。
下半年目标比重过高，易导致滚动目标失效，最终缺口难以统筹完成。因此，在考虑业务趋势或成长性的同时，需重点优化上下半年目标的合理比重。</t>
    <phoneticPr fontId="2" type="noConversion"/>
  </si>
  <si>
    <t>上半年占比，24年44%、25年51%（上半年自有员工90%），两年均值48%；业务提供年度规划(49:51)与历史趋势较吻合，采用业务方案（基本等同于按历史比重拆分）；</t>
    <phoneticPr fontId="2" type="noConversion"/>
  </si>
  <si>
    <r>
      <t>2. 数据库营销：</t>
    </r>
    <r>
      <rPr>
        <sz val="14"/>
        <color theme="1"/>
        <rFont val="微软雅黑"/>
        <family val="2"/>
        <charset val="134"/>
      </rPr>
      <t>1-2月按同比提升0.5%；同比人力情况：2025年一季度，38个自有老员工，二季度开始人员转劳务工；2026年30人+2个新人；</t>
    </r>
    <phoneticPr fontId="2" type="noConversion"/>
  </si>
  <si>
    <r>
      <t>3. 私域整体：</t>
    </r>
    <r>
      <rPr>
        <sz val="14"/>
        <color theme="1"/>
        <rFont val="微软雅黑"/>
        <family val="2"/>
        <charset val="134"/>
      </rPr>
      <t>1-3月整体，在25年四季度月均水平（73.5万）基础上增长1.2%，其中1-2月月均</t>
    </r>
    <r>
      <rPr>
        <b/>
        <sz val="14"/>
        <color theme="1"/>
        <rFont val="微软雅黑"/>
        <family val="2"/>
        <charset val="134"/>
      </rPr>
      <t>70.4万；</t>
    </r>
    <phoneticPr fontId="2" type="noConversion"/>
  </si>
  <si>
    <t>存量整体(不含其他收入)</t>
    <phoneticPr fontId="2" type="noConversion"/>
  </si>
  <si>
    <t>其他收入（按25年预估占比）</t>
    <phoneticPr fontId="2" type="noConversion"/>
  </si>
  <si>
    <t>（四）其他收入目标</t>
    <phoneticPr fontId="2" type="noConversion"/>
  </si>
  <si>
    <t>按照2025年各月实际收入比重进行月度分配。</t>
    <phoneticPr fontId="2" type="noConversion"/>
  </si>
  <si>
    <t>（1）2025年下半年私域各业务条线开始稳定运营，上下半年比重46:54；考虑业务基数与成长性，如26年上半年目标总额持平25年下半年，则上下半年比重为36：64（底限）；
（2）目前方案，1-2月兼顾春节因素，一季度维持25年下半年月均水平不下降，二季度开始提升，上下半年比重为42：58；</t>
    <phoneticPr fontId="2" type="noConversion"/>
  </si>
  <si>
    <t>其他收入占比（拟）</t>
    <phoneticPr fontId="2" type="noConversion"/>
  </si>
  <si>
    <t>电视及APP-电视商品（含自营业务）</t>
  </si>
  <si>
    <t>电视及APP-电视商品（含自营业务）</t>
    <phoneticPr fontId="2" type="noConversion"/>
  </si>
  <si>
    <t>电视及APP-电商商品</t>
  </si>
  <si>
    <t>电视及APP-电商商品</t>
    <phoneticPr fontId="2" type="noConversion"/>
  </si>
  <si>
    <t>GMV</t>
  </si>
  <si>
    <t>统计月份</t>
  </si>
  <si>
    <t>GMV目标-总</t>
  </si>
  <si>
    <t>GMV目标-自有供应链</t>
  </si>
  <si>
    <t>利润</t>
  </si>
  <si>
    <t>利润目标-总</t>
  </si>
  <si>
    <t>利润目标-自有供应链</t>
  </si>
  <si>
    <t>周</t>
    <phoneticPr fontId="2" type="noConversion"/>
  </si>
  <si>
    <t>日</t>
    <phoneticPr fontId="2" type="noConversion"/>
  </si>
  <si>
    <t>25年实际利润</t>
  </si>
  <si>
    <t>H1</t>
  </si>
  <si>
    <t>H2</t>
  </si>
  <si>
    <t>Q2</t>
  </si>
  <si>
    <t>Q3</t>
  </si>
  <si>
    <t>Q4</t>
  </si>
  <si>
    <t>26年口径</t>
  </si>
  <si>
    <t>25年实际销售</t>
    <phoneticPr fontId="2" type="noConversion"/>
  </si>
  <si>
    <t>26年销售目标</t>
    <phoneticPr fontId="2" type="noConversion"/>
  </si>
  <si>
    <t>26年利润目标</t>
    <phoneticPr fontId="2" type="noConversion"/>
  </si>
  <si>
    <t>26年销售实际</t>
    <phoneticPr fontId="2" type="noConversion"/>
  </si>
  <si>
    <t>26年利润实际</t>
    <phoneticPr fontId="2" type="noConversion"/>
  </si>
  <si>
    <t>26年利润达成率</t>
    <phoneticPr fontId="2" type="noConversion"/>
  </si>
  <si>
    <t>26年销售达成率</t>
    <phoneticPr fontId="2" type="noConversion"/>
  </si>
  <si>
    <t>26年销售同比</t>
    <phoneticPr fontId="2" type="noConversion"/>
  </si>
  <si>
    <t>26年利润同比</t>
    <phoneticPr fontId="2" type="noConversion"/>
  </si>
  <si>
    <t>自营业务</t>
    <phoneticPr fontId="2" type="noConversion"/>
  </si>
  <si>
    <t>私域-第三方</t>
    <phoneticPr fontId="2" type="noConversion"/>
  </si>
  <si>
    <t>私域-东购</t>
    <phoneticPr fontId="2" type="noConversion"/>
  </si>
  <si>
    <t>ERP电视商品（不含自营业务）</t>
    <phoneticPr fontId="2" type="noConversion"/>
  </si>
  <si>
    <t>26年年初销售目标</t>
    <phoneticPr fontId="2" type="noConversion"/>
  </si>
  <si>
    <t>26年年初利润目标</t>
    <phoneticPr fontId="2" type="noConversion"/>
  </si>
  <si>
    <t>26年年初销售目标同比</t>
    <phoneticPr fontId="2" type="noConversion"/>
  </si>
  <si>
    <t>26年年初利润目标同比</t>
    <phoneticPr fontId="2" type="noConversion"/>
  </si>
  <si>
    <t>26年滚动销售目标</t>
  </si>
  <si>
    <t>26年滚动利润目标</t>
  </si>
  <si>
    <t>26年滚动销售目标同比</t>
  </si>
  <si>
    <t>26年滚动利润目标同比</t>
  </si>
  <si>
    <t>滚动月度占比</t>
    <phoneticPr fontId="2" type="noConversion"/>
  </si>
  <si>
    <t>缺口分摊</t>
    <phoneticPr fontId="2" type="noConversion"/>
  </si>
  <si>
    <t>26年滚动利润目标</t>
    <phoneticPr fontId="2" type="noConversion"/>
  </si>
  <si>
    <t>差异check</t>
    <phoneticPr fontId="2" type="noConversion"/>
  </si>
  <si>
    <t>26年年初毛利率目标</t>
    <phoneticPr fontId="2" type="noConversion"/>
  </si>
  <si>
    <t>26年滚动销售目标（根据目标毛利率反推）</t>
    <phoneticPr fontId="2" type="noConversion"/>
  </si>
  <si>
    <t>GMV</t>
    <phoneticPr fontId="2" type="noConversion"/>
  </si>
  <si>
    <t>移动端</t>
    <phoneticPr fontId="2" type="noConversion"/>
  </si>
  <si>
    <t>环比目标</t>
  </si>
  <si>
    <t>同比实际</t>
  </si>
  <si>
    <t>责任人</t>
  </si>
  <si>
    <t>张音祺</t>
  </si>
  <si>
    <t>许震威</t>
  </si>
  <si>
    <t>日均目标环比</t>
    <phoneticPr fontId="2" type="noConversion"/>
  </si>
  <si>
    <t>东方购物</t>
    <phoneticPr fontId="2" type="noConversion"/>
  </si>
  <si>
    <t>电视及APP-电视商品
（含自营业务）</t>
    <phoneticPr fontId="2" type="noConversion"/>
  </si>
  <si>
    <t>白玉兰直播间</t>
    <phoneticPr fontId="2" type="noConversion"/>
  </si>
  <si>
    <t>张凌云
(温佳敏)</t>
  </si>
  <si>
    <t>张凌云</t>
  </si>
  <si>
    <t>曹俊
(温佳敏)</t>
  </si>
  <si>
    <t>赵鹤/王涛</t>
  </si>
  <si>
    <t>环比目标</t>
    <phoneticPr fontId="2" type="noConversion"/>
  </si>
  <si>
    <t>同比实际</t>
    <phoneticPr fontId="2" type="noConversion"/>
  </si>
  <si>
    <t>当月天数</t>
    <phoneticPr fontId="2" type="noConversion"/>
  </si>
  <si>
    <t>电视端及APP业务</t>
    <phoneticPr fontId="2" type="noConversion"/>
  </si>
  <si>
    <t>备注</t>
  </si>
  <si>
    <t>滚动</t>
  </si>
  <si>
    <t>-</t>
  </si>
  <si>
    <t>东方购物</t>
  </si>
  <si>
    <t>提升百分比</t>
    <phoneticPr fontId="2" type="noConversion"/>
  </si>
  <si>
    <t>以上，请各位领导知晓。如有任何问题，请随时沟通，谢谢！</t>
    <phoneticPr fontId="2" type="noConversion"/>
  </si>
  <si>
    <t>滚动</t>
    <phoneticPr fontId="2" type="noConversion"/>
  </si>
  <si>
    <t>日均增加</t>
    <phoneticPr fontId="2" type="noConversion"/>
  </si>
  <si>
    <t>滚动标较年初标 提升%</t>
    <phoneticPr fontId="2" type="noConversion"/>
  </si>
  <si>
    <t>同比去年实际</t>
    <phoneticPr fontId="2" type="noConversion"/>
  </si>
  <si>
    <t>同比去年实际</t>
    <phoneticPr fontId="2" type="noConversion"/>
  </si>
  <si>
    <t>1-4月缺口</t>
    <phoneticPr fontId="2" type="noConversion"/>
  </si>
  <si>
    <t>5月滚动目标</t>
    <phoneticPr fontId="2" type="noConversion"/>
  </si>
  <si>
    <t>同期6月实际</t>
    <phoneticPr fontId="2" type="noConversion"/>
  </si>
  <si>
    <t>6月目标</t>
    <phoneticPr fontId="2" type="noConversion"/>
  </si>
  <si>
    <t>6月日均标</t>
    <phoneticPr fontId="2" type="noConversion"/>
  </si>
  <si>
    <r>
      <t>按“2026年东方购物存量业务目标方案”，</t>
    </r>
    <r>
      <rPr>
        <b/>
        <sz val="12"/>
        <color rgb="FF000000"/>
        <rFont val="微软雅黑"/>
        <family val="2"/>
        <charset val="134"/>
      </rPr>
      <t>在年初计划标基础上，现将1-4月利润差额滚动计入6-12月。</t>
    </r>
    <phoneticPr fontId="2" type="noConversion"/>
  </si>
  <si>
    <t>考虑1-4月利润缺口后，6月滚动利润目标如下：</t>
    <phoneticPr fontId="2" type="noConversion"/>
  </si>
  <si>
    <r>
      <t>6月期间，所有利润业绩追踪将按滚动目标进行统计</t>
    </r>
    <r>
      <rPr>
        <sz val="12"/>
        <color rgb="FF000000"/>
        <rFont val="微软雅黑"/>
        <family val="2"/>
        <charset val="134"/>
      </rPr>
      <t>。滚动目标，中心内下沉方案，由部门负责人依据业务实际情况进行调整。</t>
    </r>
    <phoneticPr fontId="2" type="noConversion"/>
  </si>
  <si>
    <t>（1）当月存量利润目标滚动增加 173.4万元，较年初计划标提升 9.9%。其中：电视及APP业务当月增加 172.1万元；私域当月增加 4.0万元；</t>
    <phoneticPr fontId="2" type="noConversion"/>
  </si>
  <si>
    <t>6月滚动目标（计入1-4月利润缺口）</t>
    <phoneticPr fontId="2" type="noConversion"/>
  </si>
  <si>
    <t>环比5月滚动标</t>
    <phoneticPr fontId="2" type="noConversion"/>
  </si>
  <si>
    <t>日均目标环比5月</t>
    <phoneticPr fontId="2" type="noConversion"/>
  </si>
  <si>
    <t>6月日均销售标</t>
    <phoneticPr fontId="2" type="noConversion"/>
  </si>
  <si>
    <t>（2）日均利润目标，存量日均 64.1万元（每日增加 5.8万元）。其中：电视及APP日均 53.2万元（每日增加 5.7万元）；数据库营销日均 7.5万元；私域日均 3.5万元（每日增加 1328元）；</t>
    <phoneticPr fontId="2" type="noConversion"/>
  </si>
  <si>
    <t>电商商品</t>
    <phoneticPr fontId="2" type="noConversion"/>
  </si>
  <si>
    <t>电视商品（含自营业务）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</si>
</sst>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76" formatCode="_(* #,##0.00_);_(* \(#,##0.00\);_(* &quot;-&quot;??_);_(@_)"/>
    <numFmt numFmtId="177" formatCode="_(* #,##0_);_(* \(#,##0\);_(* &quot;-&quot;_);_(@_)"/>
    <numFmt numFmtId="178" formatCode="0.0%"/>
    <numFmt numFmtId="179" formatCode="0\.0,"/>
    <numFmt numFmtId="180" formatCode="_ * #,##0.0_ ;_ * \-#,##0.0_ ;_ * &quot;-&quot;??_ ;_ @_ "/>
    <numFmt numFmtId="181" formatCode="#,##0.0_ "/>
    <numFmt numFmtId="182" formatCode="#,##0.0_);[Red]\(#,##0.0\)"/>
    <numFmt numFmtId="183" formatCode="#,##0_ "/>
    <numFmt numFmtId="184" formatCode="m/d;@"/>
    <numFmt numFmtId="185" formatCode="0.00_);[Red]\(0.00\)"/>
    <numFmt numFmtId="186" formatCode="_ * #,##0_ ;_ * \-#,##0_ ;_ * &quot;-&quot;??_ ;_ @_ "/>
    <numFmt numFmtId="187" formatCode="yyyy&quot;年&quot;m&quot;月&quot;;@"/>
    <numFmt numFmtId="188" formatCode="0.0"/>
  </numFmts>
  <fonts count="6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C000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rgb="FFC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rgb="FF333333"/>
      <name val="微软雅黑"/>
      <family val="2"/>
      <charset val="134"/>
    </font>
    <font>
      <b/>
      <sz val="11"/>
      <color rgb="FFC00000"/>
      <name val="等线"/>
      <family val="3"/>
      <charset val="134"/>
      <scheme val="minor"/>
    </font>
    <font>
      <sz val="11"/>
      <color rgb="FFC00000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465154"/>
      <name val="Arial"/>
      <family val="2"/>
    </font>
    <font>
      <b/>
      <sz val="11"/>
      <color theme="1"/>
      <name val="等线"/>
      <family val="3"/>
      <charset val="134"/>
      <scheme val="minor"/>
    </font>
    <font>
      <sz val="11"/>
      <color rgb="FFC00000"/>
      <name val="等线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b/>
      <sz val="10"/>
      <color rgb="FF000000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b/>
      <sz val="11"/>
      <name val="等线"/>
      <family val="3"/>
      <charset val="134"/>
      <scheme val="minor"/>
    </font>
    <font>
      <b/>
      <sz val="10"/>
      <color rgb="FF000000"/>
      <name val="Microsoft JhengHei"/>
      <family val="2"/>
    </font>
    <font>
      <b/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0"/>
      <color rgb="FF000000"/>
      <name val="Microsoft JhengHei"/>
      <family val="2"/>
    </font>
    <font>
      <i/>
      <sz val="10"/>
      <color rgb="FF00B050"/>
      <name val="Microsoft JhengHei"/>
      <family val="2"/>
    </font>
    <font>
      <i/>
      <sz val="10"/>
      <color rgb="FFFF0000"/>
      <name val="Microsoft JhengHei"/>
      <family val="2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20"/>
      <color theme="1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sz val="20"/>
      <color theme="1"/>
      <name val="微软雅黑"/>
      <family val="2"/>
      <charset val="134"/>
    </font>
    <font>
      <sz val="22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b/>
      <sz val="16"/>
      <color rgb="FFFFFFFF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b/>
      <sz val="16"/>
      <color rgb="FF0000FF"/>
      <name val="微软雅黑"/>
      <family val="2"/>
      <charset val="134"/>
    </font>
    <font>
      <b/>
      <sz val="16"/>
      <color rgb="FFC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name val="Arial"/>
      <family val="2"/>
    </font>
    <font>
      <sz val="16"/>
      <color rgb="FFC00000"/>
      <name val="微软雅黑"/>
      <family val="2"/>
      <charset val="134"/>
    </font>
    <font>
      <sz val="16"/>
      <color rgb="FF0000FF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2"/>
      <color rgb="FF0000FF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0000FF"/>
      <name val="微软雅黑"/>
      <family val="2"/>
      <charset val="134"/>
    </font>
    <font>
      <sz val="12"/>
      <color rgb="FFC00000"/>
      <name val="微软雅黑"/>
      <family val="2"/>
      <charset val="134"/>
    </font>
    <font>
      <b/>
      <sz val="12"/>
      <color rgb="FFC00000"/>
      <name val="微软雅黑"/>
      <family val="2"/>
      <charset val="134"/>
    </font>
  </fonts>
  <fills count="2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8" tint="-0.499984740745262"/>
        <bgColor indexed="64"/>
      </patternFill>
    </fill>
  </fills>
  <borders count="1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939393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medium">
        <color rgb="FFA6A6A6"/>
      </top>
      <bottom style="dotted">
        <color rgb="FFA6A6A6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7F7F7F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A6A6A6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medium">
        <color indexed="64"/>
      </left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 style="medium">
        <color indexed="64"/>
      </right>
      <top style="medium">
        <color indexed="64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/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rgb="FF000000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rgb="FF000000"/>
      </bottom>
      <diagonal/>
    </border>
    <border>
      <left style="medium">
        <color indexed="64"/>
      </left>
      <right style="dotted">
        <color theme="0" tint="-0.499984740745262"/>
      </right>
      <top style="dotted">
        <color rgb="FF000000"/>
      </top>
      <bottom style="medium">
        <color rgb="FFA6A6A6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rgb="FF000000"/>
      </top>
      <bottom style="medium">
        <color rgb="FFA6A6A6"/>
      </bottom>
      <diagonal/>
    </border>
    <border>
      <left style="medium">
        <color indexed="64"/>
      </left>
      <right style="dotted">
        <color theme="0" tint="-0.499984740745262"/>
      </right>
      <top style="medium">
        <color rgb="FFA6A6A6"/>
      </top>
      <bottom style="dotted">
        <color rgb="FFA6A6A6"/>
      </bottom>
      <diagonal/>
    </border>
    <border>
      <left style="dotted">
        <color theme="0" tint="-0.499984740745262"/>
      </left>
      <right style="dotted">
        <color theme="0" tint="-0.499984740745262"/>
      </right>
      <top style="medium">
        <color rgb="FFA6A6A6"/>
      </top>
      <bottom style="dotted">
        <color rgb="FFA6A6A6"/>
      </bottom>
      <diagonal/>
    </border>
    <border>
      <left style="medium">
        <color indexed="64"/>
      </left>
      <right style="dotted">
        <color theme="0" tint="-0.499984740745262"/>
      </right>
      <top style="dotted">
        <color rgb="FF000000"/>
      </top>
      <bottom style="dotted">
        <color rgb="FF7F7F7F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rgb="FF000000"/>
      </top>
      <bottom style="dotted">
        <color rgb="FF7F7F7F"/>
      </bottom>
      <diagonal/>
    </border>
    <border>
      <left style="medium">
        <color indexed="64"/>
      </left>
      <right style="dotted">
        <color theme="0" tint="-0.499984740745262"/>
      </right>
      <top/>
      <bottom style="dotted">
        <color rgb="FFA6A6A6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rgb="FFA6A6A6"/>
      </bottom>
      <diagonal/>
    </border>
    <border>
      <left style="medium">
        <color indexed="64"/>
      </left>
      <right style="dotted">
        <color theme="0" tint="-0.499984740745262"/>
      </right>
      <top style="thin">
        <color rgb="FF000000"/>
      </top>
      <bottom style="dotted">
        <color rgb="FF000000"/>
      </bottom>
      <diagonal/>
    </border>
    <border>
      <left style="dotted">
        <color theme="0" tint="-0.499984740745262"/>
      </left>
      <right style="dotted">
        <color theme="0" tint="-0.499984740745262"/>
      </right>
      <top style="thin">
        <color rgb="FF000000"/>
      </top>
      <bottom style="dotted">
        <color rgb="FF000000"/>
      </bottom>
      <diagonal/>
    </border>
    <border>
      <left/>
      <right style="dotted">
        <color theme="0" tint="-0.499984740745262"/>
      </right>
      <top style="dotted">
        <color rgb="FF000000"/>
      </top>
      <bottom style="dotted">
        <color theme="0" tint="-0.499984740745262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rgb="FF000000"/>
      </bottom>
      <diagonal/>
    </border>
    <border>
      <left/>
      <right style="dotted">
        <color theme="0" tint="-0.499984740745262"/>
      </right>
      <top style="dotted">
        <color rgb="FF000000"/>
      </top>
      <bottom style="medium">
        <color rgb="FFA6A6A6"/>
      </bottom>
      <diagonal/>
    </border>
    <border>
      <left/>
      <right style="dotted">
        <color theme="0" tint="-0.499984740745262"/>
      </right>
      <top style="medium">
        <color rgb="FFA6A6A6"/>
      </top>
      <bottom style="dotted">
        <color rgb="FFA6A6A6"/>
      </bottom>
      <diagonal/>
    </border>
    <border>
      <left/>
      <right style="dotted">
        <color theme="0" tint="-0.499984740745262"/>
      </right>
      <top style="dotted">
        <color rgb="FF000000"/>
      </top>
      <bottom style="dotted">
        <color rgb="FF7F7F7F"/>
      </bottom>
      <diagonal/>
    </border>
    <border>
      <left/>
      <right style="dotted">
        <color theme="0" tint="-0.499984740745262"/>
      </right>
      <top/>
      <bottom style="dotted">
        <color rgb="FFA6A6A6"/>
      </bottom>
      <diagonal/>
    </border>
    <border>
      <left/>
      <right style="dotted">
        <color theme="0" tint="-0.499984740745262"/>
      </right>
      <top style="thin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theme="0" tint="-0.499984740745262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theme="0" tint="-0.499984740745262"/>
      </right>
      <top style="dotted">
        <color rgb="FF000000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rgb="FFA6A6A6"/>
      </bottom>
      <diagonal/>
    </border>
    <border>
      <left style="dotted">
        <color rgb="FF000000"/>
      </left>
      <right style="medium">
        <color indexed="64"/>
      </right>
      <top style="medium">
        <color rgb="FFA6A6A6"/>
      </top>
      <bottom style="dotted">
        <color rgb="FFA6A6A6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7F7F7F"/>
      </bottom>
      <diagonal/>
    </border>
    <border>
      <left style="dotted">
        <color rgb="FF000000"/>
      </left>
      <right style="medium">
        <color indexed="64"/>
      </right>
      <top/>
      <bottom style="dotted">
        <color rgb="FFA6A6A6"/>
      </bottom>
      <diagonal/>
    </border>
    <border>
      <left style="dotted">
        <color rgb="FF000000"/>
      </left>
      <right style="medium">
        <color indexed="64"/>
      </right>
      <top style="thin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theme="0" tint="-0.499984740745262"/>
      </right>
      <top style="dotted">
        <color rgb="FF000000"/>
      </top>
      <bottom style="medium">
        <color indexed="64"/>
      </bottom>
      <diagonal/>
    </border>
    <border>
      <left/>
      <right style="dotted">
        <color theme="0" tint="-0.499984740745262"/>
      </right>
      <top style="dotted">
        <color rgb="FF000000"/>
      </top>
      <bottom style="medium">
        <color indexed="64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rgb="FFA6A6A6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A6A6A6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rgb="FFA6A6A6"/>
      </bottom>
      <diagonal/>
    </border>
    <border>
      <left style="medium">
        <color indexed="64"/>
      </left>
      <right style="hair">
        <color indexed="64"/>
      </right>
      <top style="medium">
        <color rgb="FFA6A6A6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A6A6A6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rgb="FFA6A6A6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rgb="FFA6A6A6"/>
      </bottom>
      <diagonal/>
    </border>
    <border>
      <left style="medium">
        <color indexed="64"/>
      </left>
      <right style="medium">
        <color indexed="64"/>
      </right>
      <top style="medium">
        <color rgb="FFA6A6A6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tted">
        <color theme="0" tint="-0.499984740745262"/>
      </right>
      <top style="dotted">
        <color rgb="FF7F7F7F"/>
      </top>
      <bottom style="medium">
        <color indexed="64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rgb="FF7F7F7F"/>
      </top>
      <bottom style="medium">
        <color indexed="64"/>
      </bottom>
      <diagonal/>
    </border>
    <border>
      <left/>
      <right style="dotted">
        <color theme="0" tint="-0.499984740745262"/>
      </right>
      <top style="dotted">
        <color rgb="FF7F7F7F"/>
      </top>
      <bottom style="medium">
        <color indexed="64"/>
      </bottom>
      <diagonal/>
    </border>
  </borders>
  <cellStyleXfs count="19">
    <xf numFmtId="0" fontId="0" fillId="0" borderId="0"/>
    <xf numFmtId="9" fontId="1" fillId="0" borderId="0" applyFont="0" applyFill="0" applyBorder="0" applyAlignment="0" applyProtection="0">
      <alignment vertical="center"/>
    </xf>
    <xf numFmtId="0" fontId="12" fillId="0" borderId="0"/>
    <xf numFmtId="0" fontId="1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66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8" fontId="3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9" fontId="3" fillId="0" borderId="0" xfId="0" applyNumberFormat="1" applyFont="1" applyAlignment="1">
      <alignment vertical="center"/>
    </xf>
    <xf numFmtId="178" fontId="3" fillId="0" borderId="0" xfId="1" applyNumberFormat="1" applyFont="1" applyAlignment="1">
      <alignment vertical="center"/>
    </xf>
    <xf numFmtId="0" fontId="13" fillId="0" borderId="0" xfId="2" applyFont="1" applyAlignment="1">
      <alignment vertical="center"/>
    </xf>
    <xf numFmtId="0" fontId="3" fillId="0" borderId="0" xfId="2" applyFont="1"/>
    <xf numFmtId="0" fontId="4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1" fontId="3" fillId="0" borderId="0" xfId="2" applyNumberFormat="1" applyFont="1" applyAlignment="1">
      <alignment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7" borderId="12" xfId="2" applyFont="1" applyFill="1" applyBorder="1" applyAlignment="1">
      <alignment horizontal="center" vertical="center"/>
    </xf>
    <xf numFmtId="0" fontId="6" fillId="7" borderId="5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180" fontId="3" fillId="0" borderId="7" xfId="3" applyNumberFormat="1" applyFont="1" applyBorder="1" applyAlignment="1">
      <alignment horizontal="center" vertical="center"/>
    </xf>
    <xf numFmtId="180" fontId="3" fillId="0" borderId="8" xfId="3" applyNumberFormat="1" applyFont="1" applyBorder="1" applyAlignment="1">
      <alignment horizontal="center" vertical="center"/>
    </xf>
    <xf numFmtId="180" fontId="3" fillId="0" borderId="13" xfId="3" applyNumberFormat="1" applyFont="1" applyBorder="1" applyAlignment="1">
      <alignment horizontal="center" vertical="center"/>
    </xf>
    <xf numFmtId="178" fontId="3" fillId="0" borderId="8" xfId="4" applyNumberFormat="1" applyFont="1" applyBorder="1" applyAlignment="1">
      <alignment horizontal="center" vertical="center"/>
    </xf>
    <xf numFmtId="180" fontId="8" fillId="0" borderId="6" xfId="2" applyNumberFormat="1" applyFont="1" applyBorder="1" applyAlignment="1">
      <alignment horizontal="center" vertical="center"/>
    </xf>
    <xf numFmtId="178" fontId="7" fillId="0" borderId="7" xfId="4" applyNumberFormat="1" applyFont="1" applyFill="1" applyBorder="1" applyAlignment="1">
      <alignment vertical="center"/>
    </xf>
    <xf numFmtId="0" fontId="3" fillId="0" borderId="7" xfId="2" applyFont="1" applyBorder="1" applyAlignment="1">
      <alignment vertical="center" wrapText="1"/>
    </xf>
    <xf numFmtId="178" fontId="3" fillId="0" borderId="8" xfId="4" applyNumberFormat="1" applyFont="1" applyFill="1" applyBorder="1" applyAlignment="1">
      <alignment vertical="center" wrapText="1"/>
    </xf>
    <xf numFmtId="0" fontId="4" fillId="0" borderId="6" xfId="2" applyFont="1" applyBorder="1" applyAlignment="1">
      <alignment horizontal="center" vertical="center"/>
    </xf>
    <xf numFmtId="181" fontId="4" fillId="0" borderId="7" xfId="2" applyNumberFormat="1" applyFont="1" applyBorder="1" applyAlignment="1">
      <alignment vertical="center"/>
    </xf>
    <xf numFmtId="181" fontId="4" fillId="0" borderId="8" xfId="2" applyNumberFormat="1" applyFont="1" applyBorder="1" applyAlignment="1">
      <alignment vertical="center"/>
    </xf>
    <xf numFmtId="182" fontId="4" fillId="0" borderId="13" xfId="2" applyNumberFormat="1" applyFont="1" applyBorder="1" applyAlignment="1">
      <alignment vertical="center"/>
    </xf>
    <xf numFmtId="178" fontId="4" fillId="0" borderId="8" xfId="4" applyNumberFormat="1" applyFont="1" applyBorder="1" applyAlignment="1">
      <alignment horizontal="center" vertical="center"/>
    </xf>
    <xf numFmtId="178" fontId="8" fillId="0" borderId="7" xfId="4" applyNumberFormat="1" applyFont="1" applyFill="1" applyBorder="1" applyAlignment="1">
      <alignment vertical="center"/>
    </xf>
    <xf numFmtId="0" fontId="3" fillId="0" borderId="9" xfId="2" applyFont="1" applyBorder="1" applyAlignment="1">
      <alignment horizontal="center" vertical="center"/>
    </xf>
    <xf numFmtId="181" fontId="3" fillId="0" borderId="10" xfId="2" applyNumberFormat="1" applyFont="1" applyBorder="1" applyAlignment="1">
      <alignment vertical="center"/>
    </xf>
    <xf numFmtId="181" fontId="3" fillId="0" borderId="11" xfId="2" applyNumberFormat="1" applyFont="1" applyBorder="1" applyAlignment="1">
      <alignment vertical="center"/>
    </xf>
    <xf numFmtId="182" fontId="3" fillId="0" borderId="14" xfId="2" applyNumberFormat="1" applyFont="1" applyBorder="1" applyAlignment="1">
      <alignment vertical="center"/>
    </xf>
    <xf numFmtId="178" fontId="3" fillId="0" borderId="11" xfId="4" applyNumberFormat="1" applyFont="1" applyBorder="1" applyAlignment="1">
      <alignment horizontal="center" vertical="center"/>
    </xf>
    <xf numFmtId="180" fontId="8" fillId="0" borderId="9" xfId="2" applyNumberFormat="1" applyFont="1" applyBorder="1" applyAlignment="1">
      <alignment horizontal="center" vertical="center"/>
    </xf>
    <xf numFmtId="178" fontId="7" fillId="0" borderId="10" xfId="4" applyNumberFormat="1" applyFont="1" applyFill="1" applyBorder="1" applyAlignment="1">
      <alignment vertical="center"/>
    </xf>
    <xf numFmtId="0" fontId="15" fillId="0" borderId="10" xfId="2" applyFont="1" applyBorder="1" applyAlignment="1">
      <alignment vertical="center" wrapText="1"/>
    </xf>
    <xf numFmtId="178" fontId="3" fillId="0" borderId="11" xfId="4" applyNumberFormat="1" applyFont="1" applyFill="1" applyBorder="1" applyAlignment="1">
      <alignment vertical="center" wrapText="1"/>
    </xf>
    <xf numFmtId="0" fontId="3" fillId="8" borderId="17" xfId="2" applyFont="1" applyFill="1" applyBorder="1" applyAlignment="1">
      <alignment horizontal="center" vertical="center"/>
    </xf>
    <xf numFmtId="180" fontId="8" fillId="8" borderId="18" xfId="2" applyNumberFormat="1" applyFont="1" applyFill="1" applyBorder="1" applyAlignment="1">
      <alignment horizontal="center" vertical="center"/>
    </xf>
    <xf numFmtId="0" fontId="3" fillId="8" borderId="16" xfId="2" applyFont="1" applyFill="1" applyBorder="1" applyAlignment="1">
      <alignment horizontal="right" vertical="center"/>
    </xf>
    <xf numFmtId="0" fontId="3" fillId="8" borderId="16" xfId="2" applyFont="1" applyFill="1" applyBorder="1" applyAlignment="1">
      <alignment vertical="center"/>
    </xf>
    <xf numFmtId="0" fontId="3" fillId="8" borderId="19" xfId="2" applyFont="1" applyFill="1" applyBorder="1" applyAlignment="1">
      <alignment horizontal="right" vertical="center"/>
    </xf>
    <xf numFmtId="0" fontId="3" fillId="9" borderId="0" xfId="2" applyFont="1" applyFill="1" applyAlignment="1">
      <alignment vertical="center"/>
    </xf>
    <xf numFmtId="9" fontId="3" fillId="0" borderId="0" xfId="1" applyFont="1" applyAlignment="1">
      <alignment vertical="center"/>
    </xf>
    <xf numFmtId="178" fontId="3" fillId="10" borderId="0" xfId="1" applyNumberFormat="1" applyFont="1" applyFill="1" applyAlignment="1">
      <alignment vertical="center"/>
    </xf>
    <xf numFmtId="0" fontId="3" fillId="10" borderId="0" xfId="0" applyFont="1" applyFill="1" applyAlignment="1">
      <alignment vertical="center"/>
    </xf>
    <xf numFmtId="179" fontId="3" fillId="10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57" fontId="3" fillId="0" borderId="0" xfId="0" applyNumberFormat="1" applyFont="1" applyAlignment="1">
      <alignment vertical="center"/>
    </xf>
    <xf numFmtId="57" fontId="0" fillId="0" borderId="0" xfId="0" applyNumberFormat="1"/>
    <xf numFmtId="179" fontId="0" fillId="0" borderId="0" xfId="0" applyNumberFormat="1"/>
    <xf numFmtId="9" fontId="0" fillId="0" borderId="0" xfId="1" applyFont="1" applyAlignment="1"/>
    <xf numFmtId="179" fontId="16" fillId="0" borderId="0" xfId="0" applyNumberFormat="1" applyFont="1"/>
    <xf numFmtId="9" fontId="16" fillId="0" borderId="0" xfId="1" applyFont="1" applyAlignment="1"/>
    <xf numFmtId="179" fontId="17" fillId="0" borderId="0" xfId="0" applyNumberFormat="1" applyFont="1"/>
    <xf numFmtId="179" fontId="18" fillId="0" borderId="0" xfId="0" applyNumberFormat="1" applyFont="1"/>
    <xf numFmtId="178" fontId="0" fillId="0" borderId="0" xfId="1" applyNumberFormat="1" applyFont="1" applyAlignment="1"/>
    <xf numFmtId="0" fontId="19" fillId="0" borderId="0" xfId="0" applyFont="1"/>
    <xf numFmtId="179" fontId="21" fillId="0" borderId="0" xfId="0" applyNumberFormat="1" applyFont="1"/>
    <xf numFmtId="179" fontId="3" fillId="0" borderId="0" xfId="0" applyNumberFormat="1" applyFont="1" applyAlignment="1">
      <alignment horizontal="center" vertical="center"/>
    </xf>
    <xf numFmtId="178" fontId="3" fillId="0" borderId="0" xfId="1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8" fontId="3" fillId="4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179" fontId="3" fillId="4" borderId="0" xfId="0" applyNumberFormat="1" applyFont="1" applyFill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179" fontId="4" fillId="9" borderId="0" xfId="0" applyNumberFormat="1" applyFont="1" applyFill="1" applyAlignment="1">
      <alignment horizontal="center" vertical="center"/>
    </xf>
    <xf numFmtId="178" fontId="4" fillId="9" borderId="0" xfId="1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4" fillId="0" borderId="0" xfId="5" applyFont="1">
      <alignment vertical="center"/>
    </xf>
    <xf numFmtId="0" fontId="3" fillId="0" borderId="0" xfId="5" applyFont="1">
      <alignment vertical="center"/>
    </xf>
    <xf numFmtId="0" fontId="7" fillId="0" borderId="0" xfId="5" applyFont="1">
      <alignment vertical="center"/>
    </xf>
    <xf numFmtId="0" fontId="6" fillId="2" borderId="3" xfId="5" applyFont="1" applyFill="1" applyBorder="1" applyAlignment="1">
      <alignment horizontal="center" vertical="center"/>
    </xf>
    <xf numFmtId="0" fontId="6" fillId="2" borderId="4" xfId="5" applyFont="1" applyFill="1" applyBorder="1" applyAlignment="1">
      <alignment horizontal="center" vertical="center"/>
    </xf>
    <xf numFmtId="0" fontId="6" fillId="2" borderId="5" xfId="5" applyFont="1" applyFill="1" applyBorder="1" applyAlignment="1">
      <alignment horizontal="center" vertical="center"/>
    </xf>
    <xf numFmtId="0" fontId="6" fillId="0" borderId="0" xfId="5" applyFont="1">
      <alignment vertical="center"/>
    </xf>
    <xf numFmtId="0" fontId="6" fillId="3" borderId="4" xfId="5" applyFont="1" applyFill="1" applyBorder="1" applyAlignment="1">
      <alignment horizontal="center" vertical="center"/>
    </xf>
    <xf numFmtId="0" fontId="6" fillId="3" borderId="5" xfId="5" applyFont="1" applyFill="1" applyBorder="1" applyAlignment="1">
      <alignment horizontal="center" vertical="center"/>
    </xf>
    <xf numFmtId="0" fontId="4" fillId="0" borderId="0" xfId="5" applyFont="1">
      <alignment vertical="center"/>
    </xf>
    <xf numFmtId="0" fontId="3" fillId="8" borderId="6" xfId="5" applyFont="1" applyFill="1" applyBorder="1" applyAlignment="1">
      <alignment horizontal="center" vertical="center"/>
    </xf>
    <xf numFmtId="179" fontId="3" fillId="8" borderId="7" xfId="5" applyNumberFormat="1" applyFont="1" applyFill="1" applyBorder="1" applyAlignment="1">
      <alignment horizontal="center" vertical="center"/>
    </xf>
    <xf numFmtId="179" fontId="3" fillId="8" borderId="8" xfId="5" applyNumberFormat="1" applyFont="1" applyFill="1" applyBorder="1" applyAlignment="1">
      <alignment horizontal="center" vertical="center"/>
    </xf>
    <xf numFmtId="0" fontId="3" fillId="0" borderId="6" xfId="5" applyFont="1" applyBorder="1" applyAlignment="1">
      <alignment horizontal="center" vertical="center"/>
    </xf>
    <xf numFmtId="178" fontId="10" fillId="0" borderId="7" xfId="4" applyNumberFormat="1" applyFont="1" applyFill="1" applyBorder="1" applyAlignment="1">
      <alignment horizontal="center" vertical="center"/>
    </xf>
    <xf numFmtId="178" fontId="3" fillId="0" borderId="7" xfId="4" applyNumberFormat="1" applyFont="1" applyFill="1" applyBorder="1" applyAlignment="1">
      <alignment horizontal="center" vertical="center"/>
    </xf>
    <xf numFmtId="178" fontId="3" fillId="4" borderId="7" xfId="4" applyNumberFormat="1" applyFont="1" applyFill="1" applyBorder="1" applyAlignment="1">
      <alignment horizontal="center" vertical="center"/>
    </xf>
    <xf numFmtId="178" fontId="3" fillId="4" borderId="8" xfId="4" applyNumberFormat="1" applyFont="1" applyFill="1" applyBorder="1" applyAlignment="1">
      <alignment horizontal="center" vertical="center"/>
    </xf>
    <xf numFmtId="178" fontId="9" fillId="0" borderId="7" xfId="4" applyNumberFormat="1" applyFont="1" applyFill="1" applyBorder="1" applyAlignment="1">
      <alignment horizontal="center" vertical="center"/>
    </xf>
    <xf numFmtId="178" fontId="3" fillId="0" borderId="8" xfId="4" applyNumberFormat="1" applyFont="1" applyFill="1" applyBorder="1" applyAlignment="1">
      <alignment horizontal="center" vertical="center"/>
    </xf>
    <xf numFmtId="0" fontId="3" fillId="5" borderId="9" xfId="5" applyFont="1" applyFill="1" applyBorder="1" applyAlignment="1">
      <alignment horizontal="center" vertical="center"/>
    </xf>
    <xf numFmtId="179" fontId="3" fillId="5" borderId="10" xfId="5" applyNumberFormat="1" applyFont="1" applyFill="1" applyBorder="1" applyAlignment="1">
      <alignment horizontal="center" vertical="center"/>
    </xf>
    <xf numFmtId="179" fontId="3" fillId="5" borderId="11" xfId="5" applyNumberFormat="1" applyFont="1" applyFill="1" applyBorder="1" applyAlignment="1">
      <alignment horizontal="center" vertical="center"/>
    </xf>
    <xf numFmtId="178" fontId="3" fillId="5" borderId="10" xfId="4" applyNumberFormat="1" applyFont="1" applyFill="1" applyBorder="1" applyAlignment="1">
      <alignment horizontal="center" vertical="center"/>
    </xf>
    <xf numFmtId="178" fontId="3" fillId="5" borderId="11" xfId="4" applyNumberFormat="1" applyFont="1" applyFill="1" applyBorder="1" applyAlignment="1">
      <alignment horizontal="center" vertical="center"/>
    </xf>
    <xf numFmtId="0" fontId="23" fillId="0" borderId="0" xfId="5" applyFont="1">
      <alignment vertical="center"/>
    </xf>
    <xf numFmtId="0" fontId="8" fillId="0" borderId="0" xfId="5" applyFont="1">
      <alignment vertical="center"/>
    </xf>
    <xf numFmtId="178" fontId="3" fillId="0" borderId="0" xfId="4" applyNumberFormat="1" applyFont="1" applyAlignment="1">
      <alignment horizontal="center" vertical="center"/>
    </xf>
    <xf numFmtId="9" fontId="7" fillId="0" borderId="0" xfId="4" applyFont="1">
      <alignment vertical="center"/>
    </xf>
    <xf numFmtId="9" fontId="3" fillId="0" borderId="0" xfId="4" applyFont="1">
      <alignment vertical="center"/>
    </xf>
    <xf numFmtId="0" fontId="6" fillId="7" borderId="3" xfId="5" applyFont="1" applyFill="1" applyBorder="1" applyAlignment="1">
      <alignment horizontal="center" vertical="center"/>
    </xf>
    <xf numFmtId="0" fontId="6" fillId="7" borderId="4" xfId="5" applyFont="1" applyFill="1" applyBorder="1" applyAlignment="1">
      <alignment horizontal="center" vertical="center"/>
    </xf>
    <xf numFmtId="0" fontId="6" fillId="7" borderId="5" xfId="5" applyFont="1" applyFill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178" fontId="3" fillId="0" borderId="10" xfId="5" applyNumberFormat="1" applyFont="1" applyBorder="1" applyAlignment="1">
      <alignment horizontal="center" vertical="center"/>
    </xf>
    <xf numFmtId="178" fontId="8" fillId="0" borderId="10" xfId="5" applyNumberFormat="1" applyFont="1" applyBorder="1" applyAlignment="1">
      <alignment horizontal="center" vertical="center"/>
    </xf>
    <xf numFmtId="178" fontId="3" fillId="4" borderId="10" xfId="4" applyNumberFormat="1" applyFont="1" applyFill="1" applyBorder="1" applyAlignment="1">
      <alignment horizontal="center" vertical="center"/>
    </xf>
    <xf numFmtId="178" fontId="3" fillId="4" borderId="11" xfId="4" applyNumberFormat="1" applyFont="1" applyFill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3" fillId="11" borderId="0" xfId="5" applyFont="1" applyFill="1">
      <alignment vertical="center"/>
    </xf>
    <xf numFmtId="0" fontId="4" fillId="11" borderId="0" xfId="5" applyFont="1" applyFill="1">
      <alignment vertical="center"/>
    </xf>
    <xf numFmtId="179" fontId="4" fillId="0" borderId="0" xfId="5" applyNumberFormat="1" applyFont="1">
      <alignment vertical="center"/>
    </xf>
    <xf numFmtId="178" fontId="4" fillId="0" borderId="0" xfId="4" applyNumberFormat="1" applyFont="1" applyFill="1" applyBorder="1" applyAlignment="1">
      <alignment horizontal="center" vertical="center"/>
    </xf>
    <xf numFmtId="178" fontId="3" fillId="0" borderId="0" xfId="4" applyNumberFormat="1" applyFont="1" applyFill="1" applyBorder="1" applyAlignment="1">
      <alignment horizontal="center" vertical="center"/>
    </xf>
    <xf numFmtId="0" fontId="25" fillId="6" borderId="3" xfId="5" applyFont="1" applyFill="1" applyBorder="1" applyAlignment="1">
      <alignment horizontal="left" vertical="center"/>
    </xf>
    <xf numFmtId="0" fontId="3" fillId="6" borderId="4" xfId="5" applyFont="1" applyFill="1" applyBorder="1" applyAlignment="1">
      <alignment horizontal="center" vertical="center"/>
    </xf>
    <xf numFmtId="0" fontId="3" fillId="6" borderId="5" xfId="5" applyFont="1" applyFill="1" applyBorder="1" applyAlignment="1">
      <alignment horizontal="center" vertical="center"/>
    </xf>
    <xf numFmtId="0" fontId="26" fillId="6" borderId="3" xfId="5" applyFont="1" applyFill="1" applyBorder="1" applyAlignment="1">
      <alignment horizontal="center" vertical="center"/>
    </xf>
    <xf numFmtId="0" fontId="9" fillId="6" borderId="4" xfId="5" applyFont="1" applyFill="1" applyBorder="1" applyAlignment="1">
      <alignment horizontal="center" vertical="center"/>
    </xf>
    <xf numFmtId="0" fontId="3" fillId="8" borderId="9" xfId="5" applyFont="1" applyFill="1" applyBorder="1" applyAlignment="1">
      <alignment horizontal="center" vertical="center"/>
    </xf>
    <xf numFmtId="179" fontId="3" fillId="8" borderId="10" xfId="5" applyNumberFormat="1" applyFont="1" applyFill="1" applyBorder="1" applyAlignment="1">
      <alignment horizontal="center" vertical="center"/>
    </xf>
    <xf numFmtId="179" fontId="3" fillId="8" borderId="11" xfId="5" applyNumberFormat="1" applyFont="1" applyFill="1" applyBorder="1" applyAlignment="1">
      <alignment horizontal="center" vertical="center"/>
    </xf>
    <xf numFmtId="0" fontId="3" fillId="0" borderId="6" xfId="5" applyFont="1" applyBorder="1" applyAlignment="1">
      <alignment horizontal="center" vertical="center" wrapText="1"/>
    </xf>
    <xf numFmtId="178" fontId="6" fillId="0" borderId="0" xfId="4" applyNumberFormat="1" applyFont="1" applyAlignment="1">
      <alignment horizontal="center" vertical="center"/>
    </xf>
    <xf numFmtId="179" fontId="3" fillId="0" borderId="0" xfId="5" applyNumberFormat="1" applyFont="1">
      <alignment vertical="center"/>
    </xf>
    <xf numFmtId="179" fontId="23" fillId="0" borderId="0" xfId="5" applyNumberFormat="1" applyFont="1">
      <alignment vertical="center"/>
    </xf>
    <xf numFmtId="0" fontId="4" fillId="4" borderId="9" xfId="5" applyFont="1" applyFill="1" applyBorder="1">
      <alignment vertical="center"/>
    </xf>
    <xf numFmtId="178" fontId="4" fillId="4" borderId="10" xfId="4" applyNumberFormat="1" applyFont="1" applyFill="1" applyBorder="1" applyAlignment="1">
      <alignment horizontal="center" vertical="center"/>
    </xf>
    <xf numFmtId="178" fontId="4" fillId="4" borderId="11" xfId="4" applyNumberFormat="1" applyFont="1" applyFill="1" applyBorder="1" applyAlignment="1">
      <alignment horizontal="center" vertical="center"/>
    </xf>
    <xf numFmtId="0" fontId="9" fillId="6" borderId="3" xfId="5" applyFont="1" applyFill="1" applyBorder="1" applyAlignment="1">
      <alignment horizontal="center" vertical="center"/>
    </xf>
    <xf numFmtId="0" fontId="9" fillId="6" borderId="5" xfId="5" applyFont="1" applyFill="1" applyBorder="1" applyAlignment="1">
      <alignment horizontal="center" vertical="center"/>
    </xf>
    <xf numFmtId="0" fontId="9" fillId="0" borderId="0" xfId="5" applyFont="1">
      <alignment vertical="center"/>
    </xf>
    <xf numFmtId="178" fontId="8" fillId="0" borderId="7" xfId="4" applyNumberFormat="1" applyFont="1" applyFill="1" applyBorder="1" applyAlignment="1">
      <alignment horizontal="center" vertical="center"/>
    </xf>
    <xf numFmtId="178" fontId="4" fillId="0" borderId="7" xfId="4" applyNumberFormat="1" applyFont="1" applyFill="1" applyBorder="1" applyAlignment="1">
      <alignment horizontal="center" vertical="center"/>
    </xf>
    <xf numFmtId="178" fontId="10" fillId="0" borderId="0" xfId="4" applyNumberFormat="1" applyFont="1" applyFill="1">
      <alignment vertical="center"/>
    </xf>
    <xf numFmtId="178" fontId="3" fillId="0" borderId="10" xfId="4" applyNumberFormat="1" applyFont="1" applyFill="1" applyBorder="1" applyAlignment="1">
      <alignment horizontal="center" vertical="center"/>
    </xf>
    <xf numFmtId="178" fontId="3" fillId="0" borderId="11" xfId="4" applyNumberFormat="1" applyFont="1" applyFill="1" applyBorder="1" applyAlignment="1">
      <alignment horizontal="center" vertical="center"/>
    </xf>
    <xf numFmtId="179" fontId="3" fillId="0" borderId="0" xfId="5" applyNumberFormat="1" applyFont="1" applyAlignment="1">
      <alignment horizontal="center" vertical="center"/>
    </xf>
    <xf numFmtId="0" fontId="3" fillId="6" borderId="3" xfId="5" applyFont="1" applyFill="1" applyBorder="1" applyAlignment="1">
      <alignment horizontal="center" vertical="center"/>
    </xf>
    <xf numFmtId="178" fontId="4" fillId="4" borderId="7" xfId="4" applyNumberFormat="1" applyFont="1" applyFill="1" applyBorder="1" applyAlignment="1">
      <alignment horizontal="center" vertical="center"/>
    </xf>
    <xf numFmtId="178" fontId="4" fillId="4" borderId="8" xfId="4" applyNumberFormat="1" applyFont="1" applyFill="1" applyBorder="1" applyAlignment="1">
      <alignment horizontal="center" vertical="center"/>
    </xf>
    <xf numFmtId="9" fontId="9" fillId="0" borderId="7" xfId="4" applyFont="1" applyFill="1" applyBorder="1" applyAlignment="1">
      <alignment horizontal="center" vertical="center"/>
    </xf>
    <xf numFmtId="9" fontId="3" fillId="0" borderId="7" xfId="4" applyFont="1" applyFill="1" applyBorder="1" applyAlignment="1">
      <alignment horizontal="center" vertical="center"/>
    </xf>
    <xf numFmtId="9" fontId="3" fillId="0" borderId="8" xfId="4" applyFont="1" applyFill="1" applyBorder="1" applyAlignment="1">
      <alignment horizontal="center" vertical="center"/>
    </xf>
    <xf numFmtId="9" fontId="3" fillId="0" borderId="10" xfId="4" applyFont="1" applyBorder="1" applyAlignment="1">
      <alignment horizontal="center" vertical="center"/>
    </xf>
    <xf numFmtId="9" fontId="3" fillId="0" borderId="10" xfId="4" applyFont="1" applyFill="1" applyBorder="1" applyAlignment="1">
      <alignment horizontal="center" vertical="center"/>
    </xf>
    <xf numFmtId="9" fontId="3" fillId="0" borderId="11" xfId="4" applyFont="1" applyFill="1" applyBorder="1" applyAlignment="1">
      <alignment horizontal="center" vertical="center"/>
    </xf>
    <xf numFmtId="0" fontId="4" fillId="5" borderId="15" xfId="5" applyFont="1" applyFill="1" applyBorder="1" applyAlignment="1">
      <alignment horizontal="center" vertical="center"/>
    </xf>
    <xf numFmtId="179" fontId="4" fillId="5" borderId="16" xfId="5" applyNumberFormat="1" applyFont="1" applyFill="1" applyBorder="1" applyAlignment="1">
      <alignment horizontal="center" vertical="center"/>
    </xf>
    <xf numFmtId="179" fontId="4" fillId="5" borderId="19" xfId="5" applyNumberFormat="1" applyFont="1" applyFill="1" applyBorder="1" applyAlignment="1">
      <alignment horizontal="center" vertical="center"/>
    </xf>
    <xf numFmtId="0" fontId="11" fillId="0" borderId="0" xfId="3">
      <alignment vertical="center"/>
    </xf>
    <xf numFmtId="0" fontId="11" fillId="0" borderId="0" xfId="3" applyAlignment="1">
      <alignment horizontal="center" vertical="center"/>
    </xf>
    <xf numFmtId="0" fontId="11" fillId="12" borderId="23" xfId="3" applyFill="1" applyBorder="1" applyAlignment="1">
      <alignment horizontal="center" vertical="center"/>
    </xf>
    <xf numFmtId="0" fontId="11" fillId="12" borderId="0" xfId="3" applyFill="1" applyAlignment="1">
      <alignment horizontal="center" vertical="center"/>
    </xf>
    <xf numFmtId="0" fontId="11" fillId="4" borderId="0" xfId="3" applyFill="1">
      <alignment vertical="center"/>
    </xf>
    <xf numFmtId="0" fontId="11" fillId="4" borderId="0" xfId="3" applyFill="1" applyAlignment="1">
      <alignment horizontal="center" vertical="center"/>
    </xf>
    <xf numFmtId="179" fontId="11" fillId="4" borderId="0" xfId="3" applyNumberFormat="1" applyFill="1">
      <alignment vertical="center"/>
    </xf>
    <xf numFmtId="179" fontId="11" fillId="12" borderId="23" xfId="3" applyNumberFormat="1" applyFill="1" applyBorder="1">
      <alignment vertical="center"/>
    </xf>
    <xf numFmtId="179" fontId="11" fillId="12" borderId="0" xfId="3" applyNumberFormat="1" applyFill="1">
      <alignment vertical="center"/>
    </xf>
    <xf numFmtId="0" fontId="11" fillId="13" borderId="0" xfId="3" applyFill="1">
      <alignment vertical="center"/>
    </xf>
    <xf numFmtId="0" fontId="11" fillId="13" borderId="0" xfId="3" applyFill="1" applyAlignment="1">
      <alignment horizontal="center" vertical="center"/>
    </xf>
    <xf numFmtId="179" fontId="11" fillId="13" borderId="0" xfId="3" applyNumberFormat="1" applyFill="1">
      <alignment vertical="center"/>
    </xf>
    <xf numFmtId="179" fontId="11" fillId="0" borderId="0" xfId="3" applyNumberFormat="1">
      <alignment vertical="center"/>
    </xf>
    <xf numFmtId="179" fontId="11" fillId="0" borderId="23" xfId="3" applyNumberFormat="1" applyBorder="1">
      <alignment vertical="center"/>
    </xf>
    <xf numFmtId="0" fontId="11" fillId="0" borderId="23" xfId="3" applyBorder="1">
      <alignment vertical="center"/>
    </xf>
    <xf numFmtId="9" fontId="11" fillId="14" borderId="0" xfId="3" applyNumberFormat="1" applyFill="1">
      <alignment vertical="center"/>
    </xf>
    <xf numFmtId="9" fontId="11" fillId="0" borderId="0" xfId="3" applyNumberFormat="1">
      <alignment vertical="center"/>
    </xf>
    <xf numFmtId="0" fontId="11" fillId="0" borderId="0" xfId="3" applyAlignment="1">
      <alignment horizontal="right" vertical="center"/>
    </xf>
    <xf numFmtId="9" fontId="0" fillId="0" borderId="0" xfId="8" applyFont="1">
      <alignment vertical="center"/>
    </xf>
    <xf numFmtId="9" fontId="0" fillId="0" borderId="23" xfId="8" applyFont="1" applyBorder="1">
      <alignment vertical="center"/>
    </xf>
    <xf numFmtId="9" fontId="0" fillId="0" borderId="0" xfId="8" applyFont="1" applyBorder="1">
      <alignment vertical="center"/>
    </xf>
    <xf numFmtId="0" fontId="11" fillId="9" borderId="0" xfId="3" applyFill="1" applyAlignment="1">
      <alignment horizontal="right" vertical="center"/>
    </xf>
    <xf numFmtId="9" fontId="0" fillId="9" borderId="0" xfId="8" applyFont="1" applyFill="1">
      <alignment vertical="center"/>
    </xf>
    <xf numFmtId="9" fontId="0" fillId="9" borderId="23" xfId="8" applyFont="1" applyFill="1" applyBorder="1">
      <alignment vertical="center"/>
    </xf>
    <xf numFmtId="9" fontId="0" fillId="9" borderId="0" xfId="8" applyFont="1" applyFill="1" applyBorder="1">
      <alignment vertical="center"/>
    </xf>
    <xf numFmtId="9" fontId="0" fillId="0" borderId="0" xfId="8" applyFont="1" applyFill="1">
      <alignment vertical="center"/>
    </xf>
    <xf numFmtId="0" fontId="3" fillId="9" borderId="0" xfId="0" applyFont="1" applyFill="1" applyAlignment="1">
      <alignment vertical="center"/>
    </xf>
    <xf numFmtId="0" fontId="3" fillId="9" borderId="0" xfId="0" applyFont="1" applyFill="1" applyAlignment="1">
      <alignment vertical="center" wrapText="1"/>
    </xf>
    <xf numFmtId="183" fontId="27" fillId="15" borderId="24" xfId="0" applyNumberFormat="1" applyFont="1" applyFill="1" applyBorder="1" applyAlignment="1">
      <alignment horizontal="right"/>
    </xf>
    <xf numFmtId="183" fontId="28" fillId="15" borderId="0" xfId="0" applyNumberFormat="1" applyFont="1" applyFill="1" applyAlignment="1">
      <alignment horizontal="right" vertical="center"/>
    </xf>
    <xf numFmtId="183" fontId="0" fillId="0" borderId="0" xfId="0" applyNumberFormat="1"/>
    <xf numFmtId="179" fontId="29" fillId="0" borderId="0" xfId="0" applyNumberFormat="1" applyFont="1"/>
    <xf numFmtId="179" fontId="3" fillId="9" borderId="0" xfId="0" applyNumberFormat="1" applyFont="1" applyFill="1" applyAlignment="1">
      <alignment vertical="center"/>
    </xf>
    <xf numFmtId="0" fontId="3" fillId="0" borderId="25" xfId="0" applyFont="1" applyBorder="1" applyAlignment="1">
      <alignment vertical="center"/>
    </xf>
    <xf numFmtId="0" fontId="0" fillId="9" borderId="0" xfId="0" applyFill="1"/>
    <xf numFmtId="179" fontId="20" fillId="9" borderId="0" xfId="0" applyNumberFormat="1" applyFont="1" applyFill="1"/>
    <xf numFmtId="179" fontId="16" fillId="9" borderId="0" xfId="0" applyNumberFormat="1" applyFont="1" applyFill="1"/>
    <xf numFmtId="0" fontId="4" fillId="0" borderId="0" xfId="0" applyFont="1" applyAlignment="1">
      <alignment horizontal="left" vertical="center" wrapText="1"/>
    </xf>
    <xf numFmtId="0" fontId="3" fillId="16" borderId="0" xfId="0" applyFont="1" applyFill="1" applyAlignment="1">
      <alignment vertical="center"/>
    </xf>
    <xf numFmtId="179" fontId="3" fillId="16" borderId="0" xfId="0" applyNumberFormat="1" applyFont="1" applyFill="1" applyAlignment="1">
      <alignment vertical="center"/>
    </xf>
    <xf numFmtId="0" fontId="3" fillId="9" borderId="0" xfId="0" applyFont="1" applyFill="1" applyAlignment="1">
      <alignment horizontal="left" vertical="center"/>
    </xf>
    <xf numFmtId="183" fontId="27" fillId="15" borderId="0" xfId="0" applyNumberFormat="1" applyFont="1" applyFill="1" applyAlignment="1">
      <alignment horizontal="right" vertical="center"/>
    </xf>
    <xf numFmtId="0" fontId="0" fillId="0" borderId="0" xfId="0" applyAlignment="1">
      <alignment vertical="center"/>
    </xf>
    <xf numFmtId="183" fontId="30" fillId="15" borderId="0" xfId="0" applyNumberFormat="1" applyFont="1" applyFill="1" applyAlignment="1">
      <alignment horizontal="right" vertical="center"/>
    </xf>
    <xf numFmtId="183" fontId="27" fillId="15" borderId="24" xfId="0" applyNumberFormat="1" applyFont="1" applyFill="1" applyBorder="1" applyAlignment="1">
      <alignment horizontal="right" vertical="center"/>
    </xf>
    <xf numFmtId="183" fontId="30" fillId="15" borderId="24" xfId="0" applyNumberFormat="1" applyFont="1" applyFill="1" applyBorder="1" applyAlignment="1">
      <alignment horizontal="right" vertical="center"/>
    </xf>
    <xf numFmtId="183" fontId="30" fillId="15" borderId="26" xfId="0" applyNumberFormat="1" applyFont="1" applyFill="1" applyBorder="1" applyAlignment="1">
      <alignment horizontal="right" vertical="center"/>
    </xf>
    <xf numFmtId="183" fontId="0" fillId="0" borderId="0" xfId="0" applyNumberFormat="1" applyAlignment="1">
      <alignment vertical="center"/>
    </xf>
    <xf numFmtId="0" fontId="31" fillId="0" borderId="0" xfId="0" applyFont="1" applyAlignment="1">
      <alignment horizontal="left" vertical="center"/>
    </xf>
    <xf numFmtId="184" fontId="6" fillId="2" borderId="3" xfId="0" applyNumberFormat="1" applyFont="1" applyFill="1" applyBorder="1" applyAlignment="1">
      <alignment horizontal="center" vertical="center"/>
    </xf>
    <xf numFmtId="184" fontId="6" fillId="2" borderId="4" xfId="0" applyNumberFormat="1" applyFont="1" applyFill="1" applyBorder="1" applyAlignment="1">
      <alignment horizontal="center" vertical="center"/>
    </xf>
    <xf numFmtId="183" fontId="6" fillId="2" borderId="4" xfId="0" applyNumberFormat="1" applyFont="1" applyFill="1" applyBorder="1" applyAlignment="1">
      <alignment horizontal="center" vertical="center"/>
    </xf>
    <xf numFmtId="183" fontId="6" fillId="2" borderId="5" xfId="0" applyNumberFormat="1" applyFont="1" applyFill="1" applyBorder="1" applyAlignment="1">
      <alignment horizontal="center" vertical="center"/>
    </xf>
    <xf numFmtId="184" fontId="31" fillId="0" borderId="6" xfId="0" applyNumberFormat="1" applyFont="1" applyBorder="1" applyAlignment="1">
      <alignment horizontal="left" vertical="center"/>
    </xf>
    <xf numFmtId="183" fontId="31" fillId="0" borderId="7" xfId="0" applyNumberFormat="1" applyFont="1" applyBorder="1" applyAlignment="1">
      <alignment horizontal="right" vertical="center"/>
    </xf>
    <xf numFmtId="183" fontId="31" fillId="0" borderId="8" xfId="0" applyNumberFormat="1" applyFont="1" applyBorder="1" applyAlignment="1">
      <alignment horizontal="right" vertical="center"/>
    </xf>
    <xf numFmtId="184" fontId="31" fillId="0" borderId="9" xfId="0" applyNumberFormat="1" applyFont="1" applyBorder="1" applyAlignment="1">
      <alignment horizontal="left" vertical="center"/>
    </xf>
    <xf numFmtId="183" fontId="31" fillId="0" borderId="10" xfId="0" applyNumberFormat="1" applyFont="1" applyBorder="1" applyAlignment="1">
      <alignment horizontal="right" vertical="center"/>
    </xf>
    <xf numFmtId="183" fontId="31" fillId="0" borderId="11" xfId="0" applyNumberFormat="1" applyFont="1" applyBorder="1" applyAlignment="1">
      <alignment horizontal="right" vertical="center"/>
    </xf>
    <xf numFmtId="1" fontId="0" fillId="0" borderId="0" xfId="0" applyNumberFormat="1" applyAlignment="1">
      <alignment vertical="center"/>
    </xf>
    <xf numFmtId="0" fontId="3" fillId="10" borderId="4" xfId="0" applyFont="1" applyFill="1" applyBorder="1" applyAlignment="1">
      <alignment horizontal="center" vertical="center"/>
    </xf>
    <xf numFmtId="179" fontId="3" fillId="10" borderId="0" xfId="0" applyNumberFormat="1" applyFont="1" applyFill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78" fontId="3" fillId="0" borderId="0" xfId="1" applyNumberFormat="1" applyFont="1" applyBorder="1" applyAlignment="1">
      <alignment horizontal="center" vertical="center"/>
    </xf>
    <xf numFmtId="178" fontId="3" fillId="9" borderId="0" xfId="1" applyNumberFormat="1" applyFont="1" applyFill="1" applyBorder="1" applyAlignment="1">
      <alignment horizontal="center" vertical="center"/>
    </xf>
    <xf numFmtId="178" fontId="3" fillId="0" borderId="30" xfId="1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79" fontId="4" fillId="9" borderId="25" xfId="0" applyNumberFormat="1" applyFont="1" applyFill="1" applyBorder="1" applyAlignment="1">
      <alignment horizontal="center" vertical="center"/>
    </xf>
    <xf numFmtId="178" fontId="3" fillId="0" borderId="25" xfId="1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179" fontId="3" fillId="9" borderId="0" xfId="0" applyNumberFormat="1" applyFont="1" applyFill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79" fontId="4" fillId="9" borderId="34" xfId="0" applyNumberFormat="1" applyFont="1" applyFill="1" applyBorder="1" applyAlignment="1">
      <alignment horizontal="center" vertical="center"/>
    </xf>
    <xf numFmtId="178" fontId="4" fillId="9" borderId="34" xfId="1" applyNumberFormat="1" applyFont="1" applyFill="1" applyBorder="1" applyAlignment="1">
      <alignment horizontal="center" vertical="center"/>
    </xf>
    <xf numFmtId="178" fontId="4" fillId="9" borderId="2" xfId="1" applyNumberFormat="1" applyFont="1" applyFill="1" applyBorder="1" applyAlignment="1">
      <alignment horizontal="center" vertical="center"/>
    </xf>
    <xf numFmtId="178" fontId="8" fillId="9" borderId="2" xfId="1" applyNumberFormat="1" applyFont="1" applyFill="1" applyBorder="1" applyAlignment="1">
      <alignment horizontal="center" vertical="center"/>
    </xf>
    <xf numFmtId="9" fontId="32" fillId="0" borderId="0" xfId="1" applyFont="1" applyAlignment="1">
      <alignment vertical="center"/>
    </xf>
    <xf numFmtId="0" fontId="32" fillId="0" borderId="0" xfId="0" applyFont="1" applyAlignment="1">
      <alignment vertical="center"/>
    </xf>
    <xf numFmtId="0" fontId="3" fillId="18" borderId="0" xfId="0" applyFont="1" applyFill="1" applyAlignment="1">
      <alignment horizontal="center" vertical="center"/>
    </xf>
    <xf numFmtId="58" fontId="0" fillId="0" borderId="0" xfId="0" applyNumberFormat="1"/>
    <xf numFmtId="183" fontId="33" fillId="15" borderId="0" xfId="0" applyNumberFormat="1" applyFont="1" applyFill="1" applyAlignment="1">
      <alignment horizontal="right" vertical="center"/>
    </xf>
    <xf numFmtId="183" fontId="33" fillId="19" borderId="0" xfId="0" applyNumberFormat="1" applyFont="1" applyFill="1" applyAlignment="1">
      <alignment horizontal="right"/>
    </xf>
    <xf numFmtId="178" fontId="34" fillId="0" borderId="0" xfId="0" applyNumberFormat="1" applyFont="1" applyAlignment="1">
      <alignment horizontal="right" vertical="center"/>
    </xf>
    <xf numFmtId="178" fontId="35" fillId="0" borderId="0" xfId="0" applyNumberFormat="1" applyFont="1" applyAlignment="1">
      <alignment horizontal="right" vertical="center"/>
    </xf>
    <xf numFmtId="183" fontId="30" fillId="15" borderId="0" xfId="0" applyNumberFormat="1" applyFont="1" applyFill="1" applyAlignment="1">
      <alignment horizontal="right"/>
    </xf>
    <xf numFmtId="183" fontId="30" fillId="19" borderId="0" xfId="0" applyNumberFormat="1" applyFont="1" applyFill="1" applyAlignment="1">
      <alignment horizontal="right"/>
    </xf>
    <xf numFmtId="0" fontId="0" fillId="18" borderId="0" xfId="0" applyFill="1"/>
    <xf numFmtId="183" fontId="0" fillId="18" borderId="0" xfId="0" applyNumberFormat="1" applyFill="1"/>
    <xf numFmtId="0" fontId="20" fillId="18" borderId="0" xfId="0" applyFont="1" applyFill="1"/>
    <xf numFmtId="183" fontId="20" fillId="18" borderId="0" xfId="0" applyNumberFormat="1" applyFont="1" applyFill="1"/>
    <xf numFmtId="0" fontId="36" fillId="0" borderId="0" xfId="0" applyFont="1"/>
    <xf numFmtId="183" fontId="36" fillId="18" borderId="0" xfId="0" applyNumberFormat="1" applyFont="1" applyFill="1"/>
    <xf numFmtId="183" fontId="0" fillId="4" borderId="0" xfId="0" applyNumberFormat="1" applyFill="1"/>
    <xf numFmtId="183" fontId="20" fillId="4" borderId="0" xfId="0" applyNumberFormat="1" applyFont="1" applyFill="1"/>
    <xf numFmtId="178" fontId="22" fillId="0" borderId="0" xfId="1" applyNumberFormat="1" applyFont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0" fontId="3" fillId="17" borderId="4" xfId="0" applyFont="1" applyFill="1" applyBorder="1" applyAlignment="1">
      <alignment horizontal="center" vertical="center"/>
    </xf>
    <xf numFmtId="179" fontId="3" fillId="17" borderId="0" xfId="0" applyNumberFormat="1" applyFont="1" applyFill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3" xfId="5" applyFont="1" applyBorder="1" applyAlignment="1">
      <alignment horizontal="center" vertical="center"/>
    </xf>
    <xf numFmtId="179" fontId="3" fillId="0" borderId="4" xfId="5" applyNumberFormat="1" applyFont="1" applyBorder="1" applyAlignment="1">
      <alignment horizontal="center" vertical="center"/>
    </xf>
    <xf numFmtId="179" fontId="3" fillId="0" borderId="5" xfId="5" applyNumberFormat="1" applyFont="1" applyBorder="1" applyAlignment="1">
      <alignment horizontal="center" vertical="center"/>
    </xf>
    <xf numFmtId="178" fontId="4" fillId="5" borderId="16" xfId="1" applyNumberFormat="1" applyFont="1" applyFill="1" applyBorder="1" applyAlignment="1">
      <alignment horizontal="center" vertical="center"/>
    </xf>
    <xf numFmtId="178" fontId="4" fillId="5" borderId="19" xfId="1" applyNumberFormat="1" applyFont="1" applyFill="1" applyBorder="1" applyAlignment="1">
      <alignment horizontal="center" vertical="center"/>
    </xf>
    <xf numFmtId="0" fontId="6" fillId="2" borderId="39" xfId="5" applyFont="1" applyFill="1" applyBorder="1" applyAlignment="1">
      <alignment horizontal="center" vertical="center"/>
    </xf>
    <xf numFmtId="179" fontId="3" fillId="0" borderId="39" xfId="5" applyNumberFormat="1" applyFont="1" applyBorder="1" applyAlignment="1">
      <alignment horizontal="center" vertical="center"/>
    </xf>
    <xf numFmtId="0" fontId="6" fillId="2" borderId="40" xfId="5" applyFont="1" applyFill="1" applyBorder="1" applyAlignment="1">
      <alignment horizontal="center" vertical="center"/>
    </xf>
    <xf numFmtId="179" fontId="3" fillId="0" borderId="37" xfId="5" applyNumberFormat="1" applyFont="1" applyBorder="1" applyAlignment="1">
      <alignment horizontal="center" vertical="center"/>
    </xf>
    <xf numFmtId="179" fontId="3" fillId="0" borderId="38" xfId="5" applyNumberFormat="1" applyFont="1" applyBorder="1" applyAlignment="1">
      <alignment horizontal="center" vertical="center"/>
    </xf>
    <xf numFmtId="179" fontId="3" fillId="0" borderId="35" xfId="5" applyNumberFormat="1" applyFont="1" applyBorder="1" applyAlignment="1">
      <alignment horizontal="center" vertical="center"/>
    </xf>
    <xf numFmtId="179" fontId="3" fillId="0" borderId="16" xfId="5" applyNumberFormat="1" applyFont="1" applyBorder="1" applyAlignment="1">
      <alignment horizontal="center" vertical="center"/>
    </xf>
    <xf numFmtId="179" fontId="3" fillId="0" borderId="20" xfId="5" applyNumberFormat="1" applyFont="1" applyBorder="1" applyAlignment="1">
      <alignment horizontal="center" vertical="center"/>
    </xf>
    <xf numFmtId="179" fontId="3" fillId="0" borderId="19" xfId="5" applyNumberFormat="1" applyFont="1" applyBorder="1" applyAlignment="1">
      <alignment horizontal="center" vertical="center"/>
    </xf>
    <xf numFmtId="0" fontId="3" fillId="0" borderId="15" xfId="5" applyFont="1" applyBorder="1" applyAlignment="1">
      <alignment horizontal="right" vertical="center"/>
    </xf>
    <xf numFmtId="178" fontId="3" fillId="0" borderId="5" xfId="1" applyNumberFormat="1" applyFont="1" applyBorder="1" applyAlignment="1">
      <alignment horizontal="center" vertical="center"/>
    </xf>
    <xf numFmtId="0" fontId="4" fillId="4" borderId="33" xfId="5" applyFont="1" applyFill="1" applyBorder="1" applyAlignment="1">
      <alignment horizontal="center" vertical="center" wrapText="1"/>
    </xf>
    <xf numFmtId="179" fontId="4" fillId="4" borderId="42" xfId="5" applyNumberFormat="1" applyFont="1" applyFill="1" applyBorder="1" applyAlignment="1">
      <alignment horizontal="center" vertical="center"/>
    </xf>
    <xf numFmtId="179" fontId="4" fillId="4" borderId="43" xfId="5" applyNumberFormat="1" applyFont="1" applyFill="1" applyBorder="1" applyAlignment="1">
      <alignment horizontal="center" vertical="center"/>
    </xf>
    <xf numFmtId="179" fontId="4" fillId="4" borderId="44" xfId="5" applyNumberFormat="1" applyFont="1" applyFill="1" applyBorder="1" applyAlignment="1">
      <alignment horizontal="center" vertical="center"/>
    </xf>
    <xf numFmtId="0" fontId="3" fillId="0" borderId="36" xfId="5" applyFont="1" applyBorder="1" applyAlignment="1">
      <alignment horizontal="right" vertical="center" wrapText="1"/>
    </xf>
    <xf numFmtId="0" fontId="3" fillId="4" borderId="9" xfId="5" applyFont="1" applyFill="1" applyBorder="1" applyAlignment="1">
      <alignment horizontal="right" vertical="center"/>
    </xf>
    <xf numFmtId="179" fontId="9" fillId="4" borderId="10" xfId="5" applyNumberFormat="1" applyFont="1" applyFill="1" applyBorder="1" applyAlignment="1">
      <alignment horizontal="center" vertical="center"/>
    </xf>
    <xf numFmtId="179" fontId="3" fillId="4" borderId="10" xfId="5" applyNumberFormat="1" applyFont="1" applyFill="1" applyBorder="1" applyAlignment="1">
      <alignment horizontal="center" vertical="center"/>
    </xf>
    <xf numFmtId="179" fontId="3" fillId="4" borderId="11" xfId="5" applyNumberFormat="1" applyFont="1" applyFill="1" applyBorder="1" applyAlignment="1">
      <alignment horizontal="center" vertical="center"/>
    </xf>
    <xf numFmtId="178" fontId="4" fillId="4" borderId="42" xfId="1" applyNumberFormat="1" applyFont="1" applyFill="1" applyBorder="1" applyAlignment="1">
      <alignment horizontal="center" vertical="center"/>
    </xf>
    <xf numFmtId="178" fontId="4" fillId="4" borderId="43" xfId="1" applyNumberFormat="1" applyFont="1" applyFill="1" applyBorder="1" applyAlignment="1">
      <alignment horizontal="center" vertical="center"/>
    </xf>
    <xf numFmtId="178" fontId="4" fillId="4" borderId="44" xfId="1" applyNumberFormat="1" applyFont="1" applyFill="1" applyBorder="1" applyAlignment="1">
      <alignment horizontal="center" vertical="center"/>
    </xf>
    <xf numFmtId="178" fontId="3" fillId="0" borderId="37" xfId="1" applyNumberFormat="1" applyFont="1" applyBorder="1" applyAlignment="1">
      <alignment horizontal="center" vertical="center"/>
    </xf>
    <xf numFmtId="178" fontId="3" fillId="0" borderId="38" xfId="1" applyNumberFormat="1" applyFont="1" applyBorder="1" applyAlignment="1">
      <alignment horizontal="center" vertical="center"/>
    </xf>
    <xf numFmtId="178" fontId="3" fillId="0" borderId="35" xfId="1" applyNumberFormat="1" applyFont="1" applyBorder="1" applyAlignment="1">
      <alignment horizontal="center" vertical="center"/>
    </xf>
    <xf numFmtId="178" fontId="3" fillId="0" borderId="16" xfId="1" applyNumberFormat="1" applyFont="1" applyBorder="1" applyAlignment="1">
      <alignment horizontal="center" vertical="center"/>
    </xf>
    <xf numFmtId="178" fontId="3" fillId="0" borderId="20" xfId="1" applyNumberFormat="1" applyFont="1" applyBorder="1" applyAlignment="1">
      <alignment horizontal="center" vertical="center"/>
    </xf>
    <xf numFmtId="178" fontId="3" fillId="0" borderId="19" xfId="1" applyNumberFormat="1" applyFont="1" applyBorder="1" applyAlignment="1">
      <alignment horizontal="center" vertical="center"/>
    </xf>
    <xf numFmtId="178" fontId="3" fillId="0" borderId="4" xfId="1" applyNumberFormat="1" applyFont="1" applyBorder="1" applyAlignment="1">
      <alignment horizontal="center" vertical="center"/>
    </xf>
    <xf numFmtId="178" fontId="3" fillId="0" borderId="39" xfId="1" applyNumberFormat="1" applyFont="1" applyBorder="1" applyAlignment="1">
      <alignment horizontal="center" vertical="center"/>
    </xf>
    <xf numFmtId="178" fontId="9" fillId="4" borderId="10" xfId="1" applyNumberFormat="1" applyFont="1" applyFill="1" applyBorder="1" applyAlignment="1">
      <alignment horizontal="center" vertical="center"/>
    </xf>
    <xf numFmtId="178" fontId="3" fillId="4" borderId="10" xfId="1" applyNumberFormat="1" applyFont="1" applyFill="1" applyBorder="1" applyAlignment="1">
      <alignment horizontal="center" vertical="center"/>
    </xf>
    <xf numFmtId="178" fontId="3" fillId="4" borderId="1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4" borderId="3" xfId="5" applyFont="1" applyFill="1" applyBorder="1" applyAlignment="1">
      <alignment horizontal="center" vertical="center" wrapText="1"/>
    </xf>
    <xf numFmtId="0" fontId="4" fillId="4" borderId="6" xfId="5" applyFont="1" applyFill="1" applyBorder="1" applyAlignment="1">
      <alignment horizontal="center" vertical="center" wrapText="1"/>
    </xf>
    <xf numFmtId="0" fontId="4" fillId="4" borderId="21" xfId="5" applyFont="1" applyFill="1" applyBorder="1" applyAlignment="1">
      <alignment horizontal="center" vertical="center" wrapText="1"/>
    </xf>
    <xf numFmtId="179" fontId="10" fillId="4" borderId="35" xfId="5" applyNumberFormat="1" applyFont="1" applyFill="1" applyBorder="1" applyAlignment="1">
      <alignment horizontal="center" vertical="center"/>
    </xf>
    <xf numFmtId="179" fontId="10" fillId="4" borderId="38" xfId="5" applyNumberFormat="1" applyFont="1" applyFill="1" applyBorder="1" applyAlignment="1">
      <alignment horizontal="center" vertical="center"/>
    </xf>
    <xf numFmtId="179" fontId="10" fillId="4" borderId="37" xfId="5" applyNumberFormat="1" applyFont="1" applyFill="1" applyBorder="1" applyAlignment="1">
      <alignment horizontal="center" vertical="center"/>
    </xf>
    <xf numFmtId="179" fontId="10" fillId="4" borderId="45" xfId="5" applyNumberFormat="1" applyFont="1" applyFill="1" applyBorder="1" applyAlignment="1">
      <alignment horizontal="center" vertical="center"/>
    </xf>
    <xf numFmtId="179" fontId="10" fillId="4" borderId="36" xfId="5" applyNumberFormat="1" applyFont="1" applyFill="1" applyBorder="1" applyAlignment="1">
      <alignment horizontal="center" vertical="center"/>
    </xf>
    <xf numFmtId="178" fontId="10" fillId="4" borderId="37" xfId="1" applyNumberFormat="1" applyFont="1" applyFill="1" applyBorder="1" applyAlignment="1">
      <alignment horizontal="center" vertical="center"/>
    </xf>
    <xf numFmtId="178" fontId="10" fillId="4" borderId="38" xfId="1" applyNumberFormat="1" applyFont="1" applyFill="1" applyBorder="1" applyAlignment="1">
      <alignment horizontal="center" vertical="center"/>
    </xf>
    <xf numFmtId="178" fontId="10" fillId="4" borderId="35" xfId="1" applyNumberFormat="1" applyFont="1" applyFill="1" applyBorder="1" applyAlignment="1">
      <alignment horizontal="center" vertical="center"/>
    </xf>
    <xf numFmtId="178" fontId="10" fillId="4" borderId="45" xfId="1" applyNumberFormat="1" applyFont="1" applyFill="1" applyBorder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179" fontId="9" fillId="0" borderId="7" xfId="5" applyNumberFormat="1" applyFont="1" applyBorder="1" applyAlignment="1">
      <alignment horizontal="center" vertical="center"/>
    </xf>
    <xf numFmtId="179" fontId="9" fillId="0" borderId="8" xfId="5" applyNumberFormat="1" applyFont="1" applyBorder="1" applyAlignment="1">
      <alignment horizontal="center" vertical="center"/>
    </xf>
    <xf numFmtId="179" fontId="9" fillId="0" borderId="46" xfId="5" applyNumberFormat="1" applyFont="1" applyBorder="1" applyAlignment="1">
      <alignment horizontal="center" vertical="center"/>
    </xf>
    <xf numFmtId="179" fontId="9" fillId="0" borderId="47" xfId="5" applyNumberFormat="1" applyFont="1" applyBorder="1" applyAlignment="1">
      <alignment horizontal="center" vertical="center"/>
    </xf>
    <xf numFmtId="0" fontId="9" fillId="4" borderId="6" xfId="5" applyFont="1" applyFill="1" applyBorder="1" applyAlignment="1">
      <alignment horizontal="center" vertical="center"/>
    </xf>
    <xf numFmtId="179" fontId="9" fillId="4" borderId="7" xfId="5" applyNumberFormat="1" applyFont="1" applyFill="1" applyBorder="1" applyAlignment="1">
      <alignment horizontal="center" vertical="center"/>
    </xf>
    <xf numFmtId="179" fontId="9" fillId="4" borderId="8" xfId="5" applyNumberFormat="1" applyFont="1" applyFill="1" applyBorder="1" applyAlignment="1">
      <alignment horizontal="center" vertical="center"/>
    </xf>
    <xf numFmtId="179" fontId="9" fillId="4" borderId="46" xfId="5" applyNumberFormat="1" applyFont="1" applyFill="1" applyBorder="1" applyAlignment="1">
      <alignment horizontal="center" vertical="center"/>
    </xf>
    <xf numFmtId="179" fontId="9" fillId="4" borderId="47" xfId="5" applyNumberFormat="1" applyFont="1" applyFill="1" applyBorder="1" applyAlignment="1">
      <alignment horizontal="center" vertical="center"/>
    </xf>
    <xf numFmtId="0" fontId="10" fillId="5" borderId="6" xfId="5" applyFont="1" applyFill="1" applyBorder="1" applyAlignment="1">
      <alignment horizontal="center" vertical="center"/>
    </xf>
    <xf numFmtId="0" fontId="4" fillId="4" borderId="9" xfId="5" applyFont="1" applyFill="1" applyBorder="1" applyAlignment="1">
      <alignment horizontal="center" vertical="center" wrapText="1"/>
    </xf>
    <xf numFmtId="179" fontId="9" fillId="4" borderId="11" xfId="5" applyNumberFormat="1" applyFont="1" applyFill="1" applyBorder="1" applyAlignment="1">
      <alignment horizontal="center" vertical="center"/>
    </xf>
    <xf numFmtId="179" fontId="9" fillId="4" borderId="48" xfId="5" applyNumberFormat="1" applyFont="1" applyFill="1" applyBorder="1" applyAlignment="1">
      <alignment horizontal="center" vertical="center"/>
    </xf>
    <xf numFmtId="179" fontId="9" fillId="4" borderId="49" xfId="5" applyNumberFormat="1" applyFont="1" applyFill="1" applyBorder="1" applyAlignment="1">
      <alignment horizontal="center" vertical="center"/>
    </xf>
    <xf numFmtId="179" fontId="9" fillId="4" borderId="37" xfId="5" applyNumberFormat="1" applyFont="1" applyFill="1" applyBorder="1" applyAlignment="1">
      <alignment horizontal="center" vertical="center"/>
    </xf>
    <xf numFmtId="179" fontId="9" fillId="4" borderId="35" xfId="5" applyNumberFormat="1" applyFont="1" applyFill="1" applyBorder="1" applyAlignment="1">
      <alignment horizontal="center" vertical="center"/>
    </xf>
    <xf numFmtId="179" fontId="9" fillId="4" borderId="38" xfId="5" applyNumberFormat="1" applyFont="1" applyFill="1" applyBorder="1" applyAlignment="1">
      <alignment horizontal="center" vertical="center"/>
    </xf>
    <xf numFmtId="179" fontId="9" fillId="4" borderId="45" xfId="5" applyNumberFormat="1" applyFont="1" applyFill="1" applyBorder="1" applyAlignment="1">
      <alignment horizontal="center" vertical="center"/>
    </xf>
    <xf numFmtId="179" fontId="10" fillId="5" borderId="10" xfId="5" applyNumberFormat="1" applyFont="1" applyFill="1" applyBorder="1" applyAlignment="1">
      <alignment horizontal="center" vertical="center"/>
    </xf>
    <xf numFmtId="179" fontId="10" fillId="5" borderId="11" xfId="5" applyNumberFormat="1" applyFont="1" applyFill="1" applyBorder="1" applyAlignment="1">
      <alignment horizontal="center" vertical="center"/>
    </xf>
    <xf numFmtId="179" fontId="10" fillId="5" borderId="48" xfId="5" applyNumberFormat="1" applyFont="1" applyFill="1" applyBorder="1" applyAlignment="1">
      <alignment horizontal="center" vertical="center"/>
    </xf>
    <xf numFmtId="179" fontId="10" fillId="5" borderId="49" xfId="5" applyNumberFormat="1" applyFont="1" applyFill="1" applyBorder="1" applyAlignment="1">
      <alignment horizontal="center" vertical="center"/>
    </xf>
    <xf numFmtId="178" fontId="10" fillId="5" borderId="10" xfId="1" applyNumberFormat="1" applyFont="1" applyFill="1" applyBorder="1" applyAlignment="1">
      <alignment horizontal="center" vertical="center"/>
    </xf>
    <xf numFmtId="178" fontId="10" fillId="5" borderId="11" xfId="1" applyNumberFormat="1" applyFont="1" applyFill="1" applyBorder="1" applyAlignment="1">
      <alignment horizontal="center" vertical="center"/>
    </xf>
    <xf numFmtId="178" fontId="10" fillId="5" borderId="48" xfId="1" applyNumberFormat="1" applyFont="1" applyFill="1" applyBorder="1" applyAlignment="1">
      <alignment horizontal="center" vertical="center"/>
    </xf>
    <xf numFmtId="178" fontId="10" fillId="5" borderId="49" xfId="1" applyNumberFormat="1" applyFont="1" applyFill="1" applyBorder="1" applyAlignment="1">
      <alignment horizontal="center" vertical="center"/>
    </xf>
    <xf numFmtId="178" fontId="9" fillId="4" borderId="37" xfId="1" applyNumberFormat="1" applyFont="1" applyFill="1" applyBorder="1" applyAlignment="1">
      <alignment horizontal="center" vertical="center"/>
    </xf>
    <xf numFmtId="178" fontId="9" fillId="4" borderId="35" xfId="1" applyNumberFormat="1" applyFont="1" applyFill="1" applyBorder="1" applyAlignment="1">
      <alignment horizontal="center" vertical="center"/>
    </xf>
    <xf numFmtId="178" fontId="9" fillId="4" borderId="38" xfId="1" applyNumberFormat="1" applyFont="1" applyFill="1" applyBorder="1" applyAlignment="1">
      <alignment horizontal="center" vertical="center"/>
    </xf>
    <xf numFmtId="178" fontId="9" fillId="4" borderId="45" xfId="1" applyNumberFormat="1" applyFont="1" applyFill="1" applyBorder="1" applyAlignment="1">
      <alignment horizontal="center" vertical="center"/>
    </xf>
    <xf numFmtId="178" fontId="9" fillId="4" borderId="7" xfId="1" applyNumberFormat="1" applyFont="1" applyFill="1" applyBorder="1" applyAlignment="1">
      <alignment horizontal="center" vertical="center"/>
    </xf>
    <xf numFmtId="178" fontId="9" fillId="4" borderId="8" xfId="1" applyNumberFormat="1" applyFont="1" applyFill="1" applyBorder="1" applyAlignment="1">
      <alignment horizontal="center" vertical="center"/>
    </xf>
    <xf numFmtId="178" fontId="9" fillId="4" borderId="46" xfId="1" applyNumberFormat="1" applyFont="1" applyFill="1" applyBorder="1" applyAlignment="1">
      <alignment horizontal="center" vertical="center"/>
    </xf>
    <xf numFmtId="178" fontId="9" fillId="4" borderId="47" xfId="1" applyNumberFormat="1" applyFont="1" applyFill="1" applyBorder="1" applyAlignment="1">
      <alignment horizontal="center" vertical="center"/>
    </xf>
    <xf numFmtId="178" fontId="9" fillId="4" borderId="11" xfId="1" applyNumberFormat="1" applyFont="1" applyFill="1" applyBorder="1" applyAlignment="1">
      <alignment horizontal="center" vertical="center"/>
    </xf>
    <xf numFmtId="178" fontId="9" fillId="4" borderId="48" xfId="1" applyNumberFormat="1" applyFont="1" applyFill="1" applyBorder="1" applyAlignment="1">
      <alignment horizontal="center" vertical="center"/>
    </xf>
    <xf numFmtId="178" fontId="9" fillId="4" borderId="49" xfId="1" applyNumberFormat="1" applyFont="1" applyFill="1" applyBorder="1" applyAlignment="1">
      <alignment horizontal="center" vertical="center"/>
    </xf>
    <xf numFmtId="179" fontId="9" fillId="0" borderId="0" xfId="0" applyNumberFormat="1" applyFont="1" applyAlignment="1">
      <alignment vertical="center"/>
    </xf>
    <xf numFmtId="178" fontId="9" fillId="0" borderId="0" xfId="1" applyNumberFormat="1" applyFont="1" applyAlignment="1">
      <alignment vertical="center"/>
    </xf>
    <xf numFmtId="179" fontId="10" fillId="0" borderId="0" xfId="0" applyNumberFormat="1" applyFont="1" applyAlignment="1">
      <alignment vertical="center"/>
    </xf>
    <xf numFmtId="185" fontId="9" fillId="0" borderId="0" xfId="0" applyNumberFormat="1" applyFont="1" applyAlignment="1">
      <alignment vertical="center"/>
    </xf>
    <xf numFmtId="178" fontId="9" fillId="0" borderId="7" xfId="1" applyNumberFormat="1" applyFont="1" applyBorder="1" applyAlignment="1">
      <alignment horizontal="center" vertical="center"/>
    </xf>
    <xf numFmtId="178" fontId="9" fillId="0" borderId="8" xfId="1" applyNumberFormat="1" applyFont="1" applyBorder="1" applyAlignment="1">
      <alignment horizontal="center" vertical="center"/>
    </xf>
    <xf numFmtId="178" fontId="9" fillId="0" borderId="46" xfId="1" applyNumberFormat="1" applyFont="1" applyBorder="1" applyAlignment="1">
      <alignment horizontal="center" vertical="center"/>
    </xf>
    <xf numFmtId="178" fontId="9" fillId="0" borderId="47" xfId="1" applyNumberFormat="1" applyFont="1" applyBorder="1" applyAlignment="1">
      <alignment horizontal="center" vertical="center"/>
    </xf>
    <xf numFmtId="178" fontId="9" fillId="0" borderId="7" xfId="1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179" fontId="38" fillId="0" borderId="0" xfId="0" applyNumberFormat="1" applyFont="1" applyAlignment="1">
      <alignment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179" fontId="39" fillId="0" borderId="0" xfId="0" applyNumberFormat="1" applyFont="1" applyAlignment="1">
      <alignment vertical="center"/>
    </xf>
    <xf numFmtId="0" fontId="6" fillId="20" borderId="4" xfId="5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9" fontId="10" fillId="0" borderId="0" xfId="1" applyFont="1" applyAlignment="1">
      <alignment vertical="center"/>
    </xf>
    <xf numFmtId="0" fontId="4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6" fillId="20" borderId="3" xfId="5" applyFont="1" applyFill="1" applyBorder="1" applyAlignment="1">
      <alignment horizontal="center" vertical="center"/>
    </xf>
    <xf numFmtId="0" fontId="6" fillId="20" borderId="39" xfId="5" applyFont="1" applyFill="1" applyBorder="1" applyAlignment="1">
      <alignment horizontal="center" vertical="center"/>
    </xf>
    <xf numFmtId="178" fontId="9" fillId="0" borderId="0" xfId="1" applyNumberFormat="1" applyFont="1" applyFill="1" applyAlignment="1">
      <alignment vertical="center"/>
    </xf>
    <xf numFmtId="178" fontId="9" fillId="0" borderId="8" xfId="1" applyNumberFormat="1" applyFont="1" applyFill="1" applyBorder="1" applyAlignment="1">
      <alignment horizontal="center" vertical="center"/>
    </xf>
    <xf numFmtId="178" fontId="9" fillId="0" borderId="46" xfId="1" applyNumberFormat="1" applyFont="1" applyFill="1" applyBorder="1" applyAlignment="1">
      <alignment horizontal="center" vertical="center"/>
    </xf>
    <xf numFmtId="178" fontId="9" fillId="0" borderId="47" xfId="1" applyNumberFormat="1" applyFont="1" applyFill="1" applyBorder="1" applyAlignment="1">
      <alignment horizontal="center" vertical="center"/>
    </xf>
    <xf numFmtId="179" fontId="1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9" fontId="9" fillId="4" borderId="48" xfId="1" applyFont="1" applyFill="1" applyBorder="1" applyAlignment="1">
      <alignment horizontal="center" vertical="center"/>
    </xf>
    <xf numFmtId="9" fontId="9" fillId="4" borderId="11" xfId="1" applyFont="1" applyFill="1" applyBorder="1" applyAlignment="1">
      <alignment horizontal="center" vertical="center"/>
    </xf>
    <xf numFmtId="0" fontId="6" fillId="3" borderId="3" xfId="5" applyFont="1" applyFill="1" applyBorder="1" applyAlignment="1">
      <alignment horizontal="center" vertical="center"/>
    </xf>
    <xf numFmtId="0" fontId="6" fillId="3" borderId="39" xfId="5" applyFont="1" applyFill="1" applyBorder="1" applyAlignment="1">
      <alignment horizontal="center" vertical="center"/>
    </xf>
    <xf numFmtId="0" fontId="6" fillId="3" borderId="40" xfId="5" applyFont="1" applyFill="1" applyBorder="1" applyAlignment="1">
      <alignment horizontal="center" vertical="center"/>
    </xf>
    <xf numFmtId="178" fontId="43" fillId="0" borderId="0" xfId="1" applyNumberFormat="1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39" fillId="0" borderId="0" xfId="0" applyFont="1" applyAlignment="1">
      <alignment horizontal="left" vertical="center"/>
    </xf>
    <xf numFmtId="9" fontId="9" fillId="4" borderId="16" xfId="1" applyFont="1" applyFill="1" applyBorder="1" applyAlignment="1">
      <alignment horizontal="center" vertical="center"/>
    </xf>
    <xf numFmtId="9" fontId="10" fillId="0" borderId="10" xfId="1" applyFont="1" applyFill="1" applyBorder="1" applyAlignment="1">
      <alignment horizontal="center" vertical="center"/>
    </xf>
    <xf numFmtId="9" fontId="10" fillId="0" borderId="11" xfId="1" applyFont="1" applyFill="1" applyBorder="1" applyAlignment="1">
      <alignment horizontal="center" vertical="center"/>
    </xf>
    <xf numFmtId="9" fontId="9" fillId="0" borderId="37" xfId="1" applyFont="1" applyFill="1" applyBorder="1" applyAlignment="1">
      <alignment horizontal="center" vertical="center"/>
    </xf>
    <xf numFmtId="9" fontId="9" fillId="0" borderId="16" xfId="1" applyFont="1" applyFill="1" applyBorder="1" applyAlignment="1">
      <alignment horizontal="center" vertical="center"/>
    </xf>
    <xf numFmtId="9" fontId="9" fillId="0" borderId="19" xfId="1" applyFont="1" applyFill="1" applyBorder="1" applyAlignment="1">
      <alignment horizontal="center" vertical="center"/>
    </xf>
    <xf numFmtId="0" fontId="10" fillId="0" borderId="6" xfId="5" applyFont="1" applyFill="1" applyBorder="1" applyAlignment="1">
      <alignment horizontal="center" vertical="center"/>
    </xf>
    <xf numFmtId="0" fontId="4" fillId="0" borderId="3" xfId="5" applyFont="1" applyFill="1" applyBorder="1" applyAlignment="1">
      <alignment horizontal="center" vertical="center" wrapText="1"/>
    </xf>
    <xf numFmtId="0" fontId="4" fillId="0" borderId="9" xfId="5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4" fillId="0" borderId="15" xfId="5" applyFont="1" applyFill="1" applyBorder="1" applyAlignment="1">
      <alignment horizontal="center" vertical="center" wrapText="1"/>
    </xf>
    <xf numFmtId="9" fontId="10" fillId="0" borderId="19" xfId="1" applyFont="1" applyFill="1" applyBorder="1" applyAlignment="1">
      <alignment horizontal="center" vertical="center"/>
    </xf>
    <xf numFmtId="179" fontId="3" fillId="2" borderId="0" xfId="0" applyNumberFormat="1" applyFont="1" applyFill="1" applyAlignment="1">
      <alignment vertical="center"/>
    </xf>
    <xf numFmtId="0" fontId="4" fillId="2" borderId="3" xfId="5" applyFont="1" applyFill="1" applyBorder="1" applyAlignment="1">
      <alignment horizontal="center" vertical="center" wrapText="1"/>
    </xf>
    <xf numFmtId="0" fontId="4" fillId="4" borderId="0" xfId="5" applyFont="1" applyFill="1" applyBorder="1" applyAlignment="1">
      <alignment horizontal="center" vertical="center" wrapText="1"/>
    </xf>
    <xf numFmtId="179" fontId="9" fillId="4" borderId="0" xfId="5" applyNumberFormat="1" applyFont="1" applyFill="1" applyBorder="1" applyAlignment="1">
      <alignment horizontal="center" vertical="center"/>
    </xf>
    <xf numFmtId="178" fontId="9" fillId="4" borderId="0" xfId="1" applyNumberFormat="1" applyFont="1" applyFill="1" applyBorder="1" applyAlignment="1">
      <alignment horizontal="center" vertical="center"/>
    </xf>
    <xf numFmtId="0" fontId="6" fillId="2" borderId="50" xfId="5" applyFont="1" applyFill="1" applyBorder="1" applyAlignment="1">
      <alignment horizontal="center" vertical="center"/>
    </xf>
    <xf numFmtId="179" fontId="10" fillId="5" borderId="51" xfId="5" applyNumberFormat="1" applyFont="1" applyFill="1" applyBorder="1" applyAlignment="1">
      <alignment horizontal="center" vertical="center"/>
    </xf>
    <xf numFmtId="179" fontId="9" fillId="4" borderId="52" xfId="5" applyNumberFormat="1" applyFont="1" applyFill="1" applyBorder="1" applyAlignment="1">
      <alignment horizontal="center" vertical="center"/>
    </xf>
    <xf numFmtId="179" fontId="9" fillId="4" borderId="53" xfId="5" applyNumberFormat="1" applyFont="1" applyFill="1" applyBorder="1" applyAlignment="1">
      <alignment horizontal="center" vertical="center"/>
    </xf>
    <xf numFmtId="179" fontId="9" fillId="13" borderId="10" xfId="5" applyNumberFormat="1" applyFont="1" applyFill="1" applyBorder="1" applyAlignment="1">
      <alignment horizontal="center" vertical="center"/>
    </xf>
    <xf numFmtId="179" fontId="9" fillId="13" borderId="11" xfId="5" applyNumberFormat="1" applyFont="1" applyFill="1" applyBorder="1" applyAlignment="1">
      <alignment horizontal="center" vertical="center"/>
    </xf>
    <xf numFmtId="179" fontId="9" fillId="13" borderId="51" xfId="5" applyNumberFormat="1" applyFont="1" applyFill="1" applyBorder="1" applyAlignment="1">
      <alignment horizontal="center" vertical="center"/>
    </xf>
    <xf numFmtId="179" fontId="9" fillId="13" borderId="48" xfId="5" applyNumberFormat="1" applyFont="1" applyFill="1" applyBorder="1" applyAlignment="1">
      <alignment horizontal="center" vertical="center"/>
    </xf>
    <xf numFmtId="179" fontId="9" fillId="13" borderId="49" xfId="5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44" fillId="0" borderId="0" xfId="0" applyFont="1" applyAlignment="1">
      <alignment vertical="center"/>
    </xf>
    <xf numFmtId="0" fontId="3" fillId="0" borderId="0" xfId="0" applyFont="1"/>
    <xf numFmtId="178" fontId="9" fillId="13" borderId="11" xfId="1" applyNumberFormat="1" applyFont="1" applyFill="1" applyBorder="1" applyAlignment="1">
      <alignment horizontal="center" vertical="center"/>
    </xf>
    <xf numFmtId="178" fontId="9" fillId="13" borderId="10" xfId="1" applyNumberFormat="1" applyFont="1" applyFill="1" applyBorder="1" applyAlignment="1">
      <alignment horizontal="center" vertical="center"/>
    </xf>
    <xf numFmtId="179" fontId="10" fillId="13" borderId="10" xfId="5" applyNumberFormat="1" applyFont="1" applyFill="1" applyBorder="1" applyAlignment="1">
      <alignment horizontal="center" vertical="center"/>
    </xf>
    <xf numFmtId="179" fontId="10" fillId="13" borderId="11" xfId="5" applyNumberFormat="1" applyFont="1" applyFill="1" applyBorder="1" applyAlignment="1">
      <alignment horizontal="center" vertical="center"/>
    </xf>
    <xf numFmtId="0" fontId="4" fillId="4" borderId="3" xfId="5" applyFont="1" applyFill="1" applyBorder="1" applyAlignment="1">
      <alignment horizontal="right" vertical="center" wrapText="1"/>
    </xf>
    <xf numFmtId="0" fontId="4" fillId="4" borderId="6" xfId="5" applyFont="1" applyFill="1" applyBorder="1" applyAlignment="1">
      <alignment horizontal="right" vertical="center" wrapText="1"/>
    </xf>
    <xf numFmtId="0" fontId="4" fillId="13" borderId="9" xfId="5" applyFont="1" applyFill="1" applyBorder="1" applyAlignment="1">
      <alignment horizontal="left" vertical="center" wrapText="1"/>
    </xf>
    <xf numFmtId="0" fontId="10" fillId="5" borderId="6" xfId="5" applyFont="1" applyFill="1" applyBorder="1" applyAlignment="1">
      <alignment horizontal="left" vertical="center"/>
    </xf>
    <xf numFmtId="0" fontId="3" fillId="4" borderId="3" xfId="5" applyFont="1" applyFill="1" applyBorder="1" applyAlignment="1">
      <alignment horizontal="right" vertical="center" wrapText="1"/>
    </xf>
    <xf numFmtId="0" fontId="3" fillId="4" borderId="6" xfId="5" applyFont="1" applyFill="1" applyBorder="1" applyAlignment="1">
      <alignment horizontal="right" vertical="center" wrapText="1"/>
    </xf>
    <xf numFmtId="9" fontId="0" fillId="0" borderId="0" xfId="1" applyFont="1" applyAlignment="1">
      <alignment horizontal="center"/>
    </xf>
    <xf numFmtId="0" fontId="44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 wrapText="1"/>
    </xf>
    <xf numFmtId="0" fontId="4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4" fillId="0" borderId="0" xfId="0" applyFont="1" applyFill="1" applyAlignment="1">
      <alignment horizontal="left" vertical="center" wrapText="1"/>
    </xf>
    <xf numFmtId="179" fontId="9" fillId="4" borderId="4" xfId="5" applyNumberFormat="1" applyFont="1" applyFill="1" applyBorder="1" applyAlignment="1">
      <alignment horizontal="center" vertical="center"/>
    </xf>
    <xf numFmtId="179" fontId="9" fillId="4" borderId="5" xfId="5" applyNumberFormat="1" applyFont="1" applyFill="1" applyBorder="1" applyAlignment="1">
      <alignment horizontal="center" vertical="center"/>
    </xf>
    <xf numFmtId="179" fontId="9" fillId="4" borderId="39" xfId="5" applyNumberFormat="1" applyFont="1" applyFill="1" applyBorder="1" applyAlignment="1">
      <alignment horizontal="center" vertical="center"/>
    </xf>
    <xf numFmtId="179" fontId="9" fillId="4" borderId="40" xfId="5" applyNumberFormat="1" applyFont="1" applyFill="1" applyBorder="1" applyAlignment="1">
      <alignment horizontal="center" vertical="center"/>
    </xf>
    <xf numFmtId="179" fontId="9" fillId="4" borderId="19" xfId="5" applyNumberFormat="1" applyFont="1" applyFill="1" applyBorder="1" applyAlignment="1">
      <alignment horizontal="center" vertical="center"/>
    </xf>
    <xf numFmtId="179" fontId="9" fillId="4" borderId="20" xfId="5" applyNumberFormat="1" applyFont="1" applyFill="1" applyBorder="1" applyAlignment="1">
      <alignment horizontal="center" vertical="center"/>
    </xf>
    <xf numFmtId="179" fontId="9" fillId="4" borderId="16" xfId="5" applyNumberFormat="1" applyFont="1" applyFill="1" applyBorder="1" applyAlignment="1">
      <alignment horizontal="center" vertical="center"/>
    </xf>
    <xf numFmtId="179" fontId="9" fillId="4" borderId="32" xfId="5" applyNumberFormat="1" applyFont="1" applyFill="1" applyBorder="1" applyAlignment="1">
      <alignment horizontal="center" vertical="center"/>
    </xf>
    <xf numFmtId="9" fontId="9" fillId="4" borderId="19" xfId="1" applyFont="1" applyFill="1" applyBorder="1" applyAlignment="1">
      <alignment horizontal="center" vertical="center"/>
    </xf>
    <xf numFmtId="178" fontId="9" fillId="4" borderId="4" xfId="1" applyNumberFormat="1" applyFont="1" applyFill="1" applyBorder="1" applyAlignment="1">
      <alignment horizontal="center" vertical="center"/>
    </xf>
    <xf numFmtId="178" fontId="9" fillId="4" borderId="5" xfId="1" applyNumberFormat="1" applyFont="1" applyFill="1" applyBorder="1" applyAlignment="1">
      <alignment horizontal="center" vertical="center"/>
    </xf>
    <xf numFmtId="178" fontId="9" fillId="4" borderId="39" xfId="1" applyNumberFormat="1" applyFont="1" applyFill="1" applyBorder="1" applyAlignment="1">
      <alignment horizontal="center" vertical="center"/>
    </xf>
    <xf numFmtId="178" fontId="9" fillId="4" borderId="40" xfId="1" applyNumberFormat="1" applyFont="1" applyFill="1" applyBorder="1" applyAlignment="1">
      <alignment horizontal="center" vertical="center"/>
    </xf>
    <xf numFmtId="178" fontId="9" fillId="4" borderId="19" xfId="1" applyNumberFormat="1" applyFont="1" applyFill="1" applyBorder="1" applyAlignment="1">
      <alignment horizontal="center" vertical="center"/>
    </xf>
    <xf numFmtId="178" fontId="9" fillId="4" borderId="20" xfId="1" applyNumberFormat="1" applyFont="1" applyFill="1" applyBorder="1" applyAlignment="1">
      <alignment horizontal="center" vertical="center"/>
    </xf>
    <xf numFmtId="178" fontId="9" fillId="4" borderId="16" xfId="1" applyNumberFormat="1" applyFont="1" applyFill="1" applyBorder="1" applyAlignment="1">
      <alignment horizontal="center" vertical="center"/>
    </xf>
    <xf numFmtId="178" fontId="9" fillId="4" borderId="32" xfId="1" applyNumberFormat="1" applyFont="1" applyFill="1" applyBorder="1" applyAlignment="1">
      <alignment horizontal="center" vertical="center"/>
    </xf>
    <xf numFmtId="178" fontId="9" fillId="4" borderId="53" xfId="1" applyNumberFormat="1" applyFont="1" applyFill="1" applyBorder="1" applyAlignment="1">
      <alignment horizontal="center" vertical="center"/>
    </xf>
    <xf numFmtId="178" fontId="9" fillId="4" borderId="52" xfId="1" applyNumberFormat="1" applyFont="1" applyFill="1" applyBorder="1" applyAlignment="1">
      <alignment horizontal="center" vertical="center"/>
    </xf>
    <xf numFmtId="0" fontId="4" fillId="4" borderId="15" xfId="5" applyFont="1" applyFill="1" applyBorder="1" applyAlignment="1">
      <alignment horizontal="center" vertical="center" wrapText="1"/>
    </xf>
    <xf numFmtId="9" fontId="10" fillId="4" borderId="19" xfId="1" applyFont="1" applyFill="1" applyBorder="1" applyAlignment="1">
      <alignment horizontal="center" vertical="center"/>
    </xf>
    <xf numFmtId="178" fontId="9" fillId="18" borderId="35" xfId="1" applyNumberFormat="1" applyFont="1" applyFill="1" applyBorder="1" applyAlignment="1">
      <alignment horizontal="center" vertical="center"/>
    </xf>
    <xf numFmtId="178" fontId="9" fillId="18" borderId="8" xfId="1" applyNumberFormat="1" applyFont="1" applyFill="1" applyBorder="1" applyAlignment="1">
      <alignment horizontal="center" vertical="center"/>
    </xf>
    <xf numFmtId="178" fontId="9" fillId="18" borderId="11" xfId="1" applyNumberFormat="1" applyFont="1" applyFill="1" applyBorder="1" applyAlignment="1">
      <alignment horizontal="center" vertical="center"/>
    </xf>
    <xf numFmtId="178" fontId="9" fillId="18" borderId="37" xfId="1" applyNumberFormat="1" applyFont="1" applyFill="1" applyBorder="1" applyAlignment="1">
      <alignment horizontal="center" vertical="center"/>
    </xf>
    <xf numFmtId="178" fontId="9" fillId="18" borderId="7" xfId="1" applyNumberFormat="1" applyFont="1" applyFill="1" applyBorder="1" applyAlignment="1">
      <alignment horizontal="center" vertical="center"/>
    </xf>
    <xf numFmtId="178" fontId="9" fillId="18" borderId="10" xfId="1" applyNumberFormat="1" applyFont="1" applyFill="1" applyBorder="1" applyAlignment="1">
      <alignment horizontal="center" vertical="center"/>
    </xf>
    <xf numFmtId="9" fontId="10" fillId="5" borderId="10" xfId="1" applyNumberFormat="1" applyFont="1" applyFill="1" applyBorder="1" applyAlignment="1">
      <alignment horizontal="center" vertical="center"/>
    </xf>
    <xf numFmtId="9" fontId="8" fillId="4" borderId="16" xfId="1" applyNumberFormat="1" applyFont="1" applyFill="1" applyBorder="1" applyAlignment="1">
      <alignment horizontal="center" vertical="center"/>
    </xf>
    <xf numFmtId="9" fontId="9" fillId="4" borderId="16" xfId="1" applyNumberFormat="1" applyFont="1" applyFill="1" applyBorder="1" applyAlignment="1">
      <alignment horizontal="center" vertical="center"/>
    </xf>
    <xf numFmtId="0" fontId="12" fillId="0" borderId="0" xfId="5">
      <alignment vertical="center"/>
    </xf>
    <xf numFmtId="187" fontId="43" fillId="12" borderId="1" xfId="5" applyNumberFormat="1" applyFont="1" applyFill="1" applyBorder="1" applyAlignment="1">
      <alignment horizontal="center" vertical="center"/>
    </xf>
    <xf numFmtId="187" fontId="43" fillId="21" borderId="1" xfId="5" applyNumberFormat="1" applyFont="1" applyFill="1" applyBorder="1" applyAlignment="1">
      <alignment horizontal="center" vertical="center"/>
    </xf>
    <xf numFmtId="176" fontId="0" fillId="0" borderId="0" xfId="0" applyNumberFormat="1"/>
    <xf numFmtId="186" fontId="0" fillId="0" borderId="0" xfId="0" applyNumberFormat="1"/>
    <xf numFmtId="176" fontId="0" fillId="0" borderId="0" xfId="0" applyNumberFormat="1"/>
    <xf numFmtId="0" fontId="0" fillId="0" borderId="0" xfId="0"/>
    <xf numFmtId="179" fontId="10" fillId="0" borderId="10" xfId="5" applyNumberFormat="1" applyFont="1" applyFill="1" applyBorder="1" applyAlignment="1">
      <alignment horizontal="center" vertical="center"/>
    </xf>
    <xf numFmtId="179" fontId="10" fillId="0" borderId="11" xfId="5" applyNumberFormat="1" applyFont="1" applyFill="1" applyBorder="1" applyAlignment="1">
      <alignment horizontal="center" vertical="center"/>
    </xf>
    <xf numFmtId="179" fontId="10" fillId="0" borderId="48" xfId="5" applyNumberFormat="1" applyFont="1" applyFill="1" applyBorder="1" applyAlignment="1">
      <alignment horizontal="center" vertical="center"/>
    </xf>
    <xf numFmtId="179" fontId="10" fillId="0" borderId="49" xfId="5" applyNumberFormat="1" applyFont="1" applyFill="1" applyBorder="1" applyAlignment="1">
      <alignment horizontal="center" vertical="center"/>
    </xf>
    <xf numFmtId="179" fontId="9" fillId="0" borderId="37" xfId="5" applyNumberFormat="1" applyFont="1" applyFill="1" applyBorder="1" applyAlignment="1">
      <alignment horizontal="center" vertical="center"/>
    </xf>
    <xf numFmtId="179" fontId="9" fillId="0" borderId="35" xfId="5" applyNumberFormat="1" applyFont="1" applyFill="1" applyBorder="1" applyAlignment="1">
      <alignment horizontal="center" vertical="center"/>
    </xf>
    <xf numFmtId="179" fontId="9" fillId="0" borderId="38" xfId="5" applyNumberFormat="1" applyFont="1" applyFill="1" applyBorder="1" applyAlignment="1">
      <alignment horizontal="center" vertical="center"/>
    </xf>
    <xf numFmtId="179" fontId="9" fillId="0" borderId="45" xfId="5" applyNumberFormat="1" applyFont="1" applyFill="1" applyBorder="1" applyAlignment="1">
      <alignment horizontal="center" vertical="center"/>
    </xf>
    <xf numFmtId="179" fontId="9" fillId="0" borderId="10" xfId="5" applyNumberFormat="1" applyFont="1" applyFill="1" applyBorder="1" applyAlignment="1">
      <alignment horizontal="center" vertical="center"/>
    </xf>
    <xf numFmtId="179" fontId="9" fillId="0" borderId="11" xfId="5" applyNumberFormat="1" applyFont="1" applyFill="1" applyBorder="1" applyAlignment="1">
      <alignment horizontal="center" vertical="center"/>
    </xf>
    <xf numFmtId="179" fontId="9" fillId="0" borderId="48" xfId="5" applyNumberFormat="1" applyFont="1" applyFill="1" applyBorder="1" applyAlignment="1">
      <alignment horizontal="center" vertical="center"/>
    </xf>
    <xf numFmtId="179" fontId="9" fillId="0" borderId="49" xfId="5" applyNumberFormat="1" applyFont="1" applyFill="1" applyBorder="1" applyAlignment="1">
      <alignment horizontal="center" vertical="center"/>
    </xf>
    <xf numFmtId="179" fontId="9" fillId="0" borderId="7" xfId="5" applyNumberFormat="1" applyFont="1" applyFill="1" applyBorder="1" applyAlignment="1">
      <alignment horizontal="center" vertical="center"/>
    </xf>
    <xf numFmtId="179" fontId="9" fillId="0" borderId="8" xfId="5" applyNumberFormat="1" applyFont="1" applyFill="1" applyBorder="1" applyAlignment="1">
      <alignment horizontal="center" vertical="center"/>
    </xf>
    <xf numFmtId="179" fontId="9" fillId="0" borderId="46" xfId="5" applyNumberFormat="1" applyFont="1" applyFill="1" applyBorder="1" applyAlignment="1">
      <alignment horizontal="center" vertical="center"/>
    </xf>
    <xf numFmtId="179" fontId="9" fillId="0" borderId="47" xfId="5" applyNumberFormat="1" applyFont="1" applyFill="1" applyBorder="1" applyAlignment="1">
      <alignment horizontal="center" vertical="center"/>
    </xf>
    <xf numFmtId="179" fontId="9" fillId="4" borderId="22" xfId="5" applyNumberFormat="1" applyFont="1" applyFill="1" applyBorder="1" applyAlignment="1">
      <alignment horizontal="center" vertical="center"/>
    </xf>
    <xf numFmtId="179" fontId="9" fillId="0" borderId="4" xfId="5" applyNumberFormat="1" applyFont="1" applyFill="1" applyBorder="1" applyAlignment="1">
      <alignment horizontal="center" vertical="center"/>
    </xf>
    <xf numFmtId="179" fontId="9" fillId="0" borderId="5" xfId="5" applyNumberFormat="1" applyFont="1" applyFill="1" applyBorder="1" applyAlignment="1">
      <alignment horizontal="center" vertical="center"/>
    </xf>
    <xf numFmtId="179" fontId="9" fillId="0" borderId="39" xfId="5" applyNumberFormat="1" applyFont="1" applyFill="1" applyBorder="1" applyAlignment="1">
      <alignment horizontal="center" vertical="center"/>
    </xf>
    <xf numFmtId="179" fontId="9" fillId="0" borderId="40" xfId="5" applyNumberFormat="1" applyFont="1" applyFill="1" applyBorder="1" applyAlignment="1">
      <alignment horizontal="center" vertical="center"/>
    </xf>
    <xf numFmtId="179" fontId="9" fillId="0" borderId="19" xfId="5" applyNumberFormat="1" applyFont="1" applyFill="1" applyBorder="1" applyAlignment="1">
      <alignment horizontal="center" vertical="center"/>
    </xf>
    <xf numFmtId="179" fontId="9" fillId="0" borderId="20" xfId="5" applyNumberFormat="1" applyFont="1" applyFill="1" applyBorder="1" applyAlignment="1">
      <alignment horizontal="center" vertical="center"/>
    </xf>
    <xf numFmtId="179" fontId="9" fillId="0" borderId="16" xfId="5" applyNumberFormat="1" applyFont="1" applyFill="1" applyBorder="1" applyAlignment="1">
      <alignment horizontal="center" vertical="center"/>
    </xf>
    <xf numFmtId="179" fontId="9" fillId="0" borderId="32" xfId="5" applyNumberFormat="1" applyFont="1" applyFill="1" applyBorder="1" applyAlignment="1">
      <alignment horizontal="center" vertical="center"/>
    </xf>
    <xf numFmtId="179" fontId="9" fillId="0" borderId="17" xfId="5" applyNumberFormat="1" applyFont="1" applyFill="1" applyBorder="1" applyAlignment="1">
      <alignment horizontal="center" vertical="center"/>
    </xf>
    <xf numFmtId="179" fontId="9" fillId="0" borderId="41" xfId="5" applyNumberFormat="1" applyFont="1" applyFill="1" applyBorder="1" applyAlignment="1">
      <alignment horizontal="center" vertical="center"/>
    </xf>
    <xf numFmtId="179" fontId="9" fillId="0" borderId="22" xfId="5" applyNumberFormat="1" applyFont="1" applyFill="1" applyBorder="1" applyAlignment="1">
      <alignment horizontal="center" vertical="center"/>
    </xf>
    <xf numFmtId="179" fontId="9" fillId="0" borderId="2" xfId="5" applyNumberFormat="1" applyFont="1" applyFill="1" applyBorder="1" applyAlignment="1">
      <alignment horizontal="center" vertical="center"/>
    </xf>
    <xf numFmtId="0" fontId="0" fillId="0" borderId="0" xfId="0"/>
    <xf numFmtId="179" fontId="10" fillId="22" borderId="54" xfId="0" applyNumberFormat="1" applyFont="1" applyFill="1" applyBorder="1" applyAlignment="1">
      <alignment horizontal="right" vertical="center" wrapText="1" readingOrder="1"/>
    </xf>
    <xf numFmtId="179" fontId="10" fillId="0" borderId="55" xfId="0" applyNumberFormat="1" applyFont="1" applyBorder="1" applyAlignment="1">
      <alignment horizontal="right" vertical="center" wrapText="1" readingOrder="1"/>
    </xf>
    <xf numFmtId="179" fontId="46" fillId="0" borderId="56" xfId="0" applyNumberFormat="1" applyFont="1" applyBorder="1" applyAlignment="1">
      <alignment horizontal="right" vertical="center" wrapText="1" readingOrder="1"/>
    </xf>
    <xf numFmtId="179" fontId="31" fillId="0" borderId="54" xfId="0" applyNumberFormat="1" applyFont="1" applyBorder="1" applyAlignment="1">
      <alignment horizontal="right" vertical="center" wrapText="1" readingOrder="1"/>
    </xf>
    <xf numFmtId="179" fontId="10" fillId="0" borderId="57" xfId="0" applyNumberFormat="1" applyFont="1" applyBorder="1" applyAlignment="1">
      <alignment horizontal="right" vertical="center" wrapText="1" readingOrder="1"/>
    </xf>
    <xf numFmtId="0" fontId="6" fillId="23" borderId="0" xfId="5" applyFont="1" applyFill="1" applyBorder="1" applyAlignment="1">
      <alignment horizontal="center" vertical="center"/>
    </xf>
    <xf numFmtId="0" fontId="4" fillId="4" borderId="58" xfId="5" applyFont="1" applyFill="1" applyBorder="1" applyAlignment="1">
      <alignment horizontal="center" vertical="center" wrapText="1"/>
    </xf>
    <xf numFmtId="0" fontId="24" fillId="18" borderId="0" xfId="5" applyFont="1" applyFill="1">
      <alignment vertical="center"/>
    </xf>
    <xf numFmtId="187" fontId="45" fillId="0" borderId="1" xfId="5" applyNumberFormat="1" applyFont="1" applyBorder="1" applyAlignment="1">
      <alignment horizontal="center" vertical="center"/>
    </xf>
    <xf numFmtId="186" fontId="3" fillId="0" borderId="1" xfId="5" applyNumberFormat="1" applyFont="1" applyBorder="1">
      <alignment vertical="center"/>
    </xf>
    <xf numFmtId="187" fontId="5" fillId="0" borderId="1" xfId="5" applyNumberFormat="1" applyFont="1" applyBorder="1" applyAlignment="1">
      <alignment horizontal="center" vertical="center"/>
    </xf>
    <xf numFmtId="186" fontId="5" fillId="0" borderId="1" xfId="5" applyNumberFormat="1" applyFont="1" applyBorder="1">
      <alignment vertical="center"/>
    </xf>
    <xf numFmtId="0" fontId="47" fillId="2" borderId="59" xfId="0" applyFont="1" applyFill="1" applyBorder="1" applyAlignment="1">
      <alignment horizontal="center" vertical="center" wrapText="1" readingOrder="1"/>
    </xf>
    <xf numFmtId="0" fontId="47" fillId="2" borderId="60" xfId="0" applyFont="1" applyFill="1" applyBorder="1" applyAlignment="1">
      <alignment horizontal="center" vertical="center" wrapText="1" readingOrder="1"/>
    </xf>
    <xf numFmtId="0" fontId="47" fillId="24" borderId="61" xfId="0" applyFont="1" applyFill="1" applyBorder="1" applyAlignment="1">
      <alignment horizontal="center" vertical="center" wrapText="1" readingOrder="1"/>
    </xf>
    <xf numFmtId="0" fontId="51" fillId="0" borderId="66" xfId="0" applyFont="1" applyBorder="1" applyAlignment="1">
      <alignment horizontal="right" vertical="center" wrapText="1" readingOrder="1"/>
    </xf>
    <xf numFmtId="0" fontId="48" fillId="0" borderId="68" xfId="0" applyFont="1" applyBorder="1" applyAlignment="1">
      <alignment horizontal="right" vertical="center" wrapText="1" readingOrder="1"/>
    </xf>
    <xf numFmtId="0" fontId="48" fillId="0" borderId="70" xfId="0" applyFont="1" applyBorder="1" applyAlignment="1">
      <alignment horizontal="right" vertical="center" wrapText="1" readingOrder="1"/>
    </xf>
    <xf numFmtId="0" fontId="48" fillId="0" borderId="72" xfId="0" applyFont="1" applyBorder="1" applyAlignment="1">
      <alignment horizontal="right" vertical="center" wrapText="1" readingOrder="1"/>
    </xf>
    <xf numFmtId="0" fontId="47" fillId="2" borderId="74" xfId="0" applyFont="1" applyFill="1" applyBorder="1" applyAlignment="1">
      <alignment horizontal="center" vertical="center" wrapText="1" readingOrder="1"/>
    </xf>
    <xf numFmtId="0" fontId="47" fillId="2" borderId="75" xfId="0" applyFont="1" applyFill="1" applyBorder="1" applyAlignment="1">
      <alignment horizontal="center" vertical="center" wrapText="1" readingOrder="1"/>
    </xf>
    <xf numFmtId="0" fontId="47" fillId="2" borderId="82" xfId="0" applyFont="1" applyFill="1" applyBorder="1" applyAlignment="1">
      <alignment horizontal="center" vertical="center" wrapText="1" readingOrder="1"/>
    </xf>
    <xf numFmtId="0" fontId="48" fillId="22" borderId="83" xfId="0" applyFont="1" applyFill="1" applyBorder="1" applyAlignment="1">
      <alignment horizontal="left" vertical="center" wrapText="1" readingOrder="1"/>
    </xf>
    <xf numFmtId="0" fontId="51" fillId="0" borderId="84" xfId="0" applyFont="1" applyBorder="1" applyAlignment="1">
      <alignment horizontal="right" vertical="center" wrapText="1" readingOrder="1"/>
    </xf>
    <xf numFmtId="179" fontId="51" fillId="0" borderId="77" xfId="0" applyNumberFormat="1" applyFont="1" applyBorder="1" applyAlignment="1">
      <alignment horizontal="right" vertical="center" wrapText="1" readingOrder="1"/>
    </xf>
    <xf numFmtId="179" fontId="51" fillId="0" borderId="78" xfId="0" applyNumberFormat="1" applyFont="1" applyBorder="1" applyAlignment="1">
      <alignment horizontal="right" vertical="center" wrapText="1" readingOrder="1"/>
    </xf>
    <xf numFmtId="179" fontId="48" fillId="0" borderId="79" xfId="0" applyNumberFormat="1" applyFont="1" applyBorder="1" applyAlignment="1">
      <alignment horizontal="right" vertical="center" wrapText="1" readingOrder="1"/>
    </xf>
    <xf numFmtId="179" fontId="48" fillId="0" borderId="80" xfId="0" applyNumberFormat="1" applyFont="1" applyBorder="1" applyAlignment="1">
      <alignment horizontal="right" vertical="center" wrapText="1" readingOrder="1"/>
    </xf>
    <xf numFmtId="179" fontId="48" fillId="0" borderId="81" xfId="0" applyNumberFormat="1" applyFont="1" applyBorder="1" applyAlignment="1">
      <alignment horizontal="right" vertical="center" wrapText="1" readingOrder="1"/>
    </xf>
    <xf numFmtId="179" fontId="48" fillId="22" borderId="76" xfId="0" applyNumberFormat="1" applyFont="1" applyFill="1" applyBorder="1" applyAlignment="1">
      <alignment horizontal="right" vertical="center" wrapText="1" readingOrder="1"/>
    </xf>
    <xf numFmtId="178" fontId="48" fillId="0" borderId="69" xfId="1" applyNumberFormat="1" applyFont="1" applyBorder="1" applyAlignment="1">
      <alignment horizontal="right" vertical="center" wrapText="1" readingOrder="1"/>
    </xf>
    <xf numFmtId="178" fontId="48" fillId="22" borderId="64" xfId="1" applyNumberFormat="1" applyFont="1" applyFill="1" applyBorder="1" applyAlignment="1">
      <alignment horizontal="right" vertical="center" wrapText="1" readingOrder="1"/>
    </xf>
    <xf numFmtId="178" fontId="53" fillId="0" borderId="67" xfId="1" applyNumberFormat="1" applyFont="1" applyBorder="1" applyAlignment="1">
      <alignment horizontal="right" vertical="center" wrapText="1" readingOrder="1"/>
    </xf>
    <xf numFmtId="178" fontId="50" fillId="0" borderId="71" xfId="1" applyNumberFormat="1" applyFont="1" applyBorder="1" applyAlignment="1">
      <alignment horizontal="right" vertical="center" wrapText="1" readingOrder="1"/>
    </xf>
    <xf numFmtId="178" fontId="50" fillId="0" borderId="73" xfId="1" applyNumberFormat="1" applyFont="1" applyBorder="1" applyAlignment="1">
      <alignment horizontal="right" vertical="center" wrapText="1" readingOrder="1"/>
    </xf>
    <xf numFmtId="179" fontId="49" fillId="22" borderId="76" xfId="0" applyNumberFormat="1" applyFont="1" applyFill="1" applyBorder="1" applyAlignment="1">
      <alignment horizontal="right" vertical="center" wrapText="1" readingOrder="1"/>
    </xf>
    <xf numFmtId="179" fontId="54" fillId="0" borderId="77" xfId="0" applyNumberFormat="1" applyFont="1" applyBorder="1" applyAlignment="1">
      <alignment horizontal="right" vertical="center" wrapText="1" readingOrder="1"/>
    </xf>
    <xf numFmtId="179" fontId="54" fillId="0" borderId="78" xfId="0" applyNumberFormat="1" applyFont="1" applyBorder="1" applyAlignment="1">
      <alignment horizontal="right" vertical="center" wrapText="1" readingOrder="1"/>
    </xf>
    <xf numFmtId="179" fontId="49" fillId="0" borderId="79" xfId="0" applyNumberFormat="1" applyFont="1" applyBorder="1" applyAlignment="1">
      <alignment horizontal="right" vertical="center" wrapText="1" readingOrder="1"/>
    </xf>
    <xf numFmtId="0" fontId="52" fillId="22" borderId="62" xfId="0" applyFont="1" applyFill="1" applyBorder="1" applyAlignment="1">
      <alignment horizontal="center" vertical="center" wrapText="1"/>
    </xf>
    <xf numFmtId="0" fontId="51" fillId="0" borderId="63" xfId="0" applyFont="1" applyBorder="1" applyAlignment="1">
      <alignment horizontal="center" vertical="center" wrapText="1" readingOrder="1"/>
    </xf>
    <xf numFmtId="0" fontId="51" fillId="0" borderId="85" xfId="0" applyFont="1" applyBorder="1" applyAlignment="1">
      <alignment horizontal="center" vertical="center" wrapText="1" readingOrder="1"/>
    </xf>
    <xf numFmtId="0" fontId="51" fillId="0" borderId="86" xfId="0" applyFont="1" applyBorder="1" applyAlignment="1">
      <alignment horizontal="center" vertical="center" wrapText="1" readingOrder="1"/>
    </xf>
    <xf numFmtId="0" fontId="51" fillId="0" borderId="87" xfId="0" applyFont="1" applyBorder="1" applyAlignment="1">
      <alignment horizontal="center" vertical="center" wrapText="1" readingOrder="1"/>
    </xf>
    <xf numFmtId="0" fontId="51" fillId="0" borderId="88" xfId="0" applyFont="1" applyBorder="1" applyAlignment="1">
      <alignment horizontal="center" vertical="center" wrapText="1" readingOrder="1"/>
    </xf>
    <xf numFmtId="0" fontId="47" fillId="24" borderId="89" xfId="0" applyFont="1" applyFill="1" applyBorder="1" applyAlignment="1">
      <alignment horizontal="center" vertical="center" wrapText="1" readingOrder="1"/>
    </xf>
    <xf numFmtId="0" fontId="48" fillId="22" borderId="90" xfId="0" applyFont="1" applyFill="1" applyBorder="1" applyAlignment="1">
      <alignment horizontal="left" vertical="center" wrapText="1" readingOrder="1"/>
    </xf>
    <xf numFmtId="179" fontId="49" fillId="22" borderId="91" xfId="0" applyNumberFormat="1" applyFont="1" applyFill="1" applyBorder="1" applyAlignment="1">
      <alignment horizontal="right" vertical="center" wrapText="1" readingOrder="1"/>
    </xf>
    <xf numFmtId="178" fontId="50" fillId="22" borderId="92" xfId="1" applyNumberFormat="1" applyFont="1" applyFill="1" applyBorder="1" applyAlignment="1">
      <alignment horizontal="right" vertical="center" wrapText="1" readingOrder="1"/>
    </xf>
    <xf numFmtId="179" fontId="48" fillId="22" borderId="91" xfId="0" applyNumberFormat="1" applyFont="1" applyFill="1" applyBorder="1" applyAlignment="1">
      <alignment horizontal="right" vertical="center" wrapText="1" readingOrder="1"/>
    </xf>
    <xf numFmtId="0" fontId="51" fillId="22" borderId="93" xfId="0" applyFont="1" applyFill="1" applyBorder="1" applyAlignment="1">
      <alignment horizontal="center" vertical="center" wrapText="1" readingOrder="1"/>
    </xf>
    <xf numFmtId="0" fontId="4" fillId="10" borderId="9" xfId="5" applyFont="1" applyFill="1" applyBorder="1" applyAlignment="1">
      <alignment horizontal="center" vertical="center" wrapText="1"/>
    </xf>
    <xf numFmtId="0" fontId="4" fillId="10" borderId="3" xfId="5" applyFont="1" applyFill="1" applyBorder="1" applyAlignment="1">
      <alignment horizontal="center" vertical="center" wrapText="1"/>
    </xf>
    <xf numFmtId="179" fontId="9" fillId="10" borderId="28" xfId="5" applyNumberFormat="1" applyFont="1" applyFill="1" applyBorder="1" applyAlignment="1">
      <alignment horizontal="center" vertical="center"/>
    </xf>
    <xf numFmtId="179" fontId="9" fillId="10" borderId="29" xfId="5" applyNumberFormat="1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vertical="center"/>
    </xf>
    <xf numFmtId="0" fontId="3" fillId="10" borderId="32" xfId="0" applyFont="1" applyFill="1" applyBorder="1" applyAlignment="1">
      <alignment vertical="center"/>
    </xf>
    <xf numFmtId="176" fontId="10" fillId="0" borderId="0" xfId="18" applyFont="1" applyAlignment="1">
      <alignment vertical="center"/>
    </xf>
    <xf numFmtId="0" fontId="55" fillId="0" borderId="0" xfId="0" applyFont="1" applyAlignment="1">
      <alignment vertical="center"/>
    </xf>
    <xf numFmtId="0" fontId="3" fillId="0" borderId="0" xfId="0" applyFont="1" applyAlignment="1"/>
    <xf numFmtId="0" fontId="57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6" fillId="7" borderId="36" xfId="5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5" applyFont="1" applyFill="1" applyBorder="1" applyAlignment="1">
      <alignment horizontal="center" vertical="center" wrapText="1"/>
    </xf>
    <xf numFmtId="179" fontId="9" fillId="0" borderId="0" xfId="5" applyNumberFormat="1" applyFont="1" applyFill="1" applyBorder="1" applyAlignment="1">
      <alignment horizontal="center" vertical="center"/>
    </xf>
    <xf numFmtId="179" fontId="0" fillId="0" borderId="0" xfId="0" applyNumberFormat="1" applyFill="1" applyBorder="1"/>
    <xf numFmtId="179" fontId="49" fillId="0" borderId="81" xfId="0" applyNumberFormat="1" applyFont="1" applyBorder="1" applyAlignment="1">
      <alignment horizontal="right" vertical="center" wrapText="1" readingOrder="1"/>
    </xf>
    <xf numFmtId="188" fontId="0" fillId="0" borderId="0" xfId="0" applyNumberFormat="1"/>
    <xf numFmtId="178" fontId="38" fillId="0" borderId="0" xfId="1" applyNumberFormat="1" applyFont="1" applyAlignment="1">
      <alignment vertical="center"/>
    </xf>
    <xf numFmtId="176" fontId="0" fillId="0" borderId="0" xfId="0" applyNumberFormat="1"/>
    <xf numFmtId="178" fontId="50" fillId="0" borderId="69" xfId="1" applyNumberFormat="1" applyFont="1" applyBorder="1" applyAlignment="1">
      <alignment horizontal="right" vertical="center" wrapText="1" readingOrder="1"/>
    </xf>
    <xf numFmtId="0" fontId="58" fillId="2" borderId="95" xfId="0" applyFont="1" applyFill="1" applyBorder="1" applyAlignment="1">
      <alignment horizontal="center" vertical="center" wrapText="1" readingOrder="1"/>
    </xf>
    <xf numFmtId="0" fontId="58" fillId="2" borderId="60" xfId="0" applyFont="1" applyFill="1" applyBorder="1" applyAlignment="1">
      <alignment horizontal="center" vertical="center" wrapText="1" readingOrder="1"/>
    </xf>
    <xf numFmtId="0" fontId="58" fillId="25" borderId="96" xfId="0" applyFont="1" applyFill="1" applyBorder="1" applyAlignment="1">
      <alignment horizontal="center" vertical="center" wrapText="1" readingOrder="1"/>
    </xf>
    <xf numFmtId="0" fontId="58" fillId="24" borderId="97" xfId="0" applyFont="1" applyFill="1" applyBorder="1" applyAlignment="1">
      <alignment horizontal="center" vertical="center" wrapText="1" readingOrder="1"/>
    </xf>
    <xf numFmtId="0" fontId="58" fillId="24" borderId="109" xfId="0" applyFont="1" applyFill="1" applyBorder="1" applyAlignment="1">
      <alignment horizontal="center" vertical="center" wrapText="1" readingOrder="1"/>
    </xf>
    <xf numFmtId="0" fontId="56" fillId="22" borderId="98" xfId="0" applyFont="1" applyFill="1" applyBorder="1" applyAlignment="1">
      <alignment horizontal="left" vertical="center" wrapText="1" readingOrder="1"/>
    </xf>
    <xf numFmtId="179" fontId="59" fillId="22" borderId="76" xfId="0" applyNumberFormat="1" applyFont="1" applyFill="1" applyBorder="1" applyAlignment="1">
      <alignment horizontal="right" vertical="center" wrapText="1" readingOrder="1"/>
    </xf>
    <xf numFmtId="179" fontId="56" fillId="22" borderId="76" xfId="0" applyNumberFormat="1" applyFont="1" applyFill="1" applyBorder="1" applyAlignment="1">
      <alignment horizontal="right" vertical="center" wrapText="1" readingOrder="1"/>
    </xf>
    <xf numFmtId="178" fontId="56" fillId="22" borderId="64" xfId="1" applyNumberFormat="1" applyFont="1" applyFill="1" applyBorder="1" applyAlignment="1">
      <alignment horizontal="right" vertical="center" wrapText="1" readingOrder="1"/>
    </xf>
    <xf numFmtId="179" fontId="59" fillId="22" borderId="7" xfId="0" applyNumberFormat="1" applyFont="1" applyFill="1" applyBorder="1" applyAlignment="1">
      <alignment horizontal="right" vertical="center" wrapText="1" readingOrder="1"/>
    </xf>
    <xf numFmtId="0" fontId="60" fillId="22" borderId="99" xfId="0" applyFont="1" applyFill="1" applyBorder="1" applyAlignment="1">
      <alignment horizontal="center" vertical="center" wrapText="1"/>
    </xf>
    <xf numFmtId="0" fontId="60" fillId="22" borderId="110" xfId="0" applyFont="1" applyFill="1" applyBorder="1" applyAlignment="1">
      <alignment horizontal="center" vertical="center" wrapText="1"/>
    </xf>
    <xf numFmtId="0" fontId="55" fillId="0" borderId="98" xfId="0" applyFont="1" applyBorder="1" applyAlignment="1">
      <alignment horizontal="right" vertical="center" wrapText="1" readingOrder="1"/>
    </xf>
    <xf numFmtId="179" fontId="61" fillId="0" borderId="77" xfId="0" applyNumberFormat="1" applyFont="1" applyBorder="1" applyAlignment="1">
      <alignment horizontal="right" vertical="center" wrapText="1" readingOrder="1"/>
    </xf>
    <xf numFmtId="179" fontId="55" fillId="0" borderId="77" xfId="0" applyNumberFormat="1" applyFont="1" applyBorder="1" applyAlignment="1">
      <alignment horizontal="right" vertical="center" wrapText="1" readingOrder="1"/>
    </xf>
    <xf numFmtId="179" fontId="61" fillId="0" borderId="7" xfId="0" applyNumberFormat="1" applyFont="1" applyBorder="1" applyAlignment="1">
      <alignment horizontal="right" vertical="center" wrapText="1" readingOrder="1"/>
    </xf>
    <xf numFmtId="0" fontId="55" fillId="0" borderId="99" xfId="0" applyFont="1" applyBorder="1" applyAlignment="1">
      <alignment horizontal="center" vertical="center" wrapText="1" readingOrder="1"/>
    </xf>
    <xf numFmtId="0" fontId="55" fillId="0" borderId="110" xfId="0" applyFont="1" applyBorder="1" applyAlignment="1">
      <alignment horizontal="center" vertical="center" wrapText="1" readingOrder="1"/>
    </xf>
    <xf numFmtId="0" fontId="55" fillId="0" borderId="100" xfId="0" applyFont="1" applyBorder="1" applyAlignment="1">
      <alignment horizontal="right" vertical="center" wrapText="1" readingOrder="1"/>
    </xf>
    <xf numFmtId="179" fontId="61" fillId="0" borderId="78" xfId="0" applyNumberFormat="1" applyFont="1" applyBorder="1" applyAlignment="1">
      <alignment horizontal="right" vertical="center" wrapText="1" readingOrder="1"/>
    </xf>
    <xf numFmtId="179" fontId="55" fillId="0" borderId="78" xfId="0" applyNumberFormat="1" applyFont="1" applyBorder="1" applyAlignment="1">
      <alignment horizontal="right" vertical="center" wrapText="1" readingOrder="1"/>
    </xf>
    <xf numFmtId="178" fontId="62" fillId="0" borderId="67" xfId="1" applyNumberFormat="1" applyFont="1" applyBorder="1" applyAlignment="1">
      <alignment horizontal="right" vertical="center" wrapText="1" readingOrder="1"/>
    </xf>
    <xf numFmtId="179" fontId="61" fillId="0" borderId="101" xfId="0" applyNumberFormat="1" applyFont="1" applyBorder="1" applyAlignment="1">
      <alignment horizontal="right" vertical="center" wrapText="1" readingOrder="1"/>
    </xf>
    <xf numFmtId="178" fontId="62" fillId="0" borderId="101" xfId="1" applyNumberFormat="1" applyFont="1" applyBorder="1" applyAlignment="1">
      <alignment horizontal="right" vertical="center" wrapText="1" readingOrder="1"/>
    </xf>
    <xf numFmtId="0" fontId="55" fillId="0" borderId="102" xfId="0" applyFont="1" applyBorder="1" applyAlignment="1">
      <alignment horizontal="center" vertical="center" wrapText="1" readingOrder="1"/>
    </xf>
    <xf numFmtId="0" fontId="55" fillId="0" borderId="111" xfId="0" applyFont="1" applyBorder="1" applyAlignment="1">
      <alignment horizontal="center" vertical="center" wrapText="1" readingOrder="1"/>
    </xf>
    <xf numFmtId="0" fontId="56" fillId="0" borderId="103" xfId="0" applyFont="1" applyBorder="1" applyAlignment="1">
      <alignment horizontal="right" vertical="center" wrapText="1" readingOrder="1"/>
    </xf>
    <xf numFmtId="179" fontId="59" fillId="0" borderId="79" xfId="0" applyNumberFormat="1" applyFont="1" applyBorder="1" applyAlignment="1">
      <alignment horizontal="right" vertical="center" wrapText="1" readingOrder="1"/>
    </xf>
    <xf numFmtId="178" fontId="63" fillId="0" borderId="69" xfId="1" applyNumberFormat="1" applyFont="1" applyBorder="1" applyAlignment="1">
      <alignment horizontal="right" vertical="center" wrapText="1" readingOrder="1"/>
    </xf>
    <xf numFmtId="179" fontId="56" fillId="0" borderId="79" xfId="0" applyNumberFormat="1" applyFont="1" applyBorder="1" applyAlignment="1">
      <alignment horizontal="right" vertical="center" wrapText="1" readingOrder="1"/>
    </xf>
    <xf numFmtId="178" fontId="56" fillId="0" borderId="69" xfId="1" applyNumberFormat="1" applyFont="1" applyBorder="1" applyAlignment="1">
      <alignment horizontal="right" vertical="center" wrapText="1" readingOrder="1"/>
    </xf>
    <xf numFmtId="179" fontId="59" fillId="0" borderId="104" xfId="0" applyNumberFormat="1" applyFont="1" applyBorder="1" applyAlignment="1">
      <alignment horizontal="right" vertical="center" wrapText="1" readingOrder="1"/>
    </xf>
    <xf numFmtId="178" fontId="56" fillId="0" borderId="104" xfId="1" applyNumberFormat="1" applyFont="1" applyBorder="1" applyAlignment="1">
      <alignment horizontal="right" vertical="center" wrapText="1" readingOrder="1"/>
    </xf>
    <xf numFmtId="0" fontId="55" fillId="0" borderId="105" xfId="0" applyFont="1" applyBorder="1" applyAlignment="1">
      <alignment horizontal="center" vertical="center" wrapText="1" readingOrder="1"/>
    </xf>
    <xf numFmtId="0" fontId="55" fillId="0" borderId="112" xfId="0" applyFont="1" applyBorder="1" applyAlignment="1">
      <alignment horizontal="center" vertical="center" wrapText="1" readingOrder="1"/>
    </xf>
    <xf numFmtId="0" fontId="56" fillId="0" borderId="98" xfId="0" applyFont="1" applyBorder="1" applyAlignment="1">
      <alignment horizontal="right" vertical="center" wrapText="1" readingOrder="1"/>
    </xf>
    <xf numFmtId="179" fontId="56" fillId="0" borderId="80" xfId="0" applyNumberFormat="1" applyFont="1" applyBorder="1" applyAlignment="1">
      <alignment horizontal="right" vertical="center" wrapText="1" readingOrder="1"/>
    </xf>
    <xf numFmtId="178" fontId="63" fillId="0" borderId="71" xfId="1" applyNumberFormat="1" applyFont="1" applyBorder="1" applyAlignment="1">
      <alignment horizontal="right" vertical="center" wrapText="1" readingOrder="1"/>
    </xf>
    <xf numFmtId="179" fontId="56" fillId="0" borderId="7" xfId="0" applyNumberFormat="1" applyFont="1" applyBorder="1" applyAlignment="1">
      <alignment horizontal="right" vertical="center" wrapText="1" readingOrder="1"/>
    </xf>
    <xf numFmtId="178" fontId="63" fillId="0" borderId="7" xfId="1" applyNumberFormat="1" applyFont="1" applyBorder="1" applyAlignment="1">
      <alignment horizontal="right" vertical="center" wrapText="1" readingOrder="1"/>
    </xf>
    <xf numFmtId="0" fontId="56" fillId="0" borderId="107" xfId="0" applyFont="1" applyBorder="1" applyAlignment="1">
      <alignment horizontal="right" vertical="center" wrapText="1" readingOrder="1"/>
    </xf>
    <xf numFmtId="179" fontId="59" fillId="0" borderId="114" xfId="0" applyNumberFormat="1" applyFont="1" applyBorder="1" applyAlignment="1">
      <alignment horizontal="right" vertical="center" wrapText="1" readingOrder="1"/>
    </xf>
    <xf numFmtId="178" fontId="63" fillId="0" borderId="115" xfId="1" applyNumberFormat="1" applyFont="1" applyBorder="1" applyAlignment="1">
      <alignment horizontal="right" vertical="center" wrapText="1" readingOrder="1"/>
    </xf>
    <xf numFmtId="179" fontId="56" fillId="0" borderId="116" xfId="0" applyNumberFormat="1" applyFont="1" applyBorder="1" applyAlignment="1">
      <alignment horizontal="right" vertical="center" wrapText="1" readingOrder="1"/>
    </xf>
    <xf numFmtId="179" fontId="59" fillId="0" borderId="108" xfId="0" applyNumberFormat="1" applyFont="1" applyBorder="1" applyAlignment="1">
      <alignment horizontal="right" vertical="center" wrapText="1" readingOrder="1"/>
    </xf>
    <xf numFmtId="178" fontId="63" fillId="0" borderId="108" xfId="1" applyNumberFormat="1" applyFont="1" applyBorder="1" applyAlignment="1">
      <alignment horizontal="right" vertical="center" wrapText="1" readingOrder="1"/>
    </xf>
    <xf numFmtId="0" fontId="55" fillId="0" borderId="106" xfId="0" applyFont="1" applyBorder="1" applyAlignment="1">
      <alignment horizontal="center" vertical="center" wrapText="1" readingOrder="1"/>
    </xf>
    <xf numFmtId="0" fontId="55" fillId="0" borderId="113" xfId="0" applyFont="1" applyBorder="1" applyAlignment="1">
      <alignment horizontal="center" vertical="center" wrapText="1" readingOrder="1"/>
    </xf>
    <xf numFmtId="178" fontId="53" fillId="0" borderId="65" xfId="1" applyNumberFormat="1" applyFont="1" applyBorder="1" applyAlignment="1">
      <alignment horizontal="right" vertical="center" wrapText="1" readingOrder="1"/>
    </xf>
    <xf numFmtId="178" fontId="50" fillId="22" borderId="64" xfId="1" applyNumberFormat="1" applyFont="1" applyFill="1" applyBorder="1" applyAlignment="1">
      <alignment horizontal="right" vertical="center" wrapText="1" readingOrder="1"/>
    </xf>
    <xf numFmtId="178" fontId="63" fillId="22" borderId="64" xfId="1" applyNumberFormat="1" applyFont="1" applyFill="1" applyBorder="1" applyAlignment="1">
      <alignment horizontal="right" vertical="center" wrapText="1" readingOrder="1"/>
    </xf>
    <xf numFmtId="178" fontId="62" fillId="0" borderId="65" xfId="1" applyNumberFormat="1" applyFont="1" applyBorder="1" applyAlignment="1">
      <alignment horizontal="right" vertical="center" wrapText="1" readingOrder="1"/>
    </xf>
    <xf numFmtId="178" fontId="63" fillId="22" borderId="7" xfId="1" applyNumberFormat="1" applyFont="1" applyFill="1" applyBorder="1" applyAlignment="1">
      <alignment horizontal="right" vertical="center" wrapText="1" readingOrder="1"/>
    </xf>
    <xf numFmtId="178" fontId="62" fillId="0" borderId="7" xfId="1" applyNumberFormat="1" applyFont="1" applyBorder="1" applyAlignment="1">
      <alignment horizontal="right" vertical="center" wrapText="1" readingOrder="1"/>
    </xf>
    <xf numFmtId="0" fontId="6" fillId="2" borderId="0" xfId="5" applyFont="1" applyFill="1" applyBorder="1" applyAlignment="1">
      <alignment horizontal="center" vertical="center"/>
    </xf>
    <xf numFmtId="0" fontId="48" fillId="0" borderId="94" xfId="0" applyFont="1" applyBorder="1" applyAlignment="1">
      <alignment vertical="center"/>
    </xf>
    <xf numFmtId="0" fontId="11" fillId="0" borderId="0" xfId="3" applyAlignment="1">
      <alignment horizontal="center" vertical="center" wrapText="1"/>
    </xf>
    <xf numFmtId="0" fontId="11" fillId="4" borderId="0" xfId="3" applyFill="1" applyAlignment="1">
      <alignment horizontal="center" vertical="center"/>
    </xf>
    <xf numFmtId="0" fontId="11" fillId="13" borderId="0" xfId="3" applyFill="1" applyAlignment="1">
      <alignment horizontal="center" vertical="center"/>
    </xf>
    <xf numFmtId="0" fontId="11" fillId="0" borderId="0" xfId="3" applyAlignment="1">
      <alignment horizontal="center" vertical="center"/>
    </xf>
    <xf numFmtId="0" fontId="11" fillId="9" borderId="0" xfId="3" applyFill="1" applyAlignment="1">
      <alignment horizontal="center" vertical="center" wrapText="1"/>
    </xf>
    <xf numFmtId="0" fontId="11" fillId="12" borderId="23" xfId="3" applyFill="1" applyBorder="1" applyAlignment="1">
      <alignment horizontal="center" vertical="center"/>
    </xf>
    <xf numFmtId="0" fontId="11" fillId="12" borderId="0" xfId="3" applyFill="1" applyAlignment="1">
      <alignment horizontal="center" vertical="center"/>
    </xf>
    <xf numFmtId="0" fontId="3" fillId="8" borderId="15" xfId="2" applyFont="1" applyFill="1" applyBorder="1" applyAlignment="1">
      <alignment horizontal="center" vertical="center"/>
    </xf>
    <xf numFmtId="0" fontId="3" fillId="8" borderId="16" xfId="2" applyFont="1" applyFill="1" applyBorder="1" applyAlignment="1">
      <alignment horizontal="center" vertical="center"/>
    </xf>
    <xf numFmtId="183" fontId="31" fillId="0" borderId="0" xfId="0" applyNumberFormat="1" applyFont="1" applyAlignment="1">
      <alignment horizontal="center" vertical="center"/>
    </xf>
  </cellXfs>
  <cellStyles count="19">
    <cellStyle name="百分比" xfId="1" builtinId="5"/>
    <cellStyle name="百分比 2" xfId="4" xr:uid="{15C3ABB0-A72F-4CF8-A698-F98EFF8628CC}"/>
    <cellStyle name="百分比 3" xfId="8" xr:uid="{A978F64F-45F6-440B-8BA5-12692EA5B70C}"/>
    <cellStyle name="常规" xfId="0" builtinId="0"/>
    <cellStyle name="常规 2" xfId="3" xr:uid="{4F75F682-495C-4679-AACB-09A4291CDB7D}"/>
    <cellStyle name="常规 3" xfId="5" xr:uid="{87F76B00-663E-41CC-9808-7E4ECF9F2528}"/>
    <cellStyle name="常规 4" xfId="2" xr:uid="{77D4143A-F5EC-45F2-A420-84F8106BC953}"/>
    <cellStyle name="常规 4 2" xfId="17" xr:uid="{250B966D-CFB8-4B5C-87AA-B0AED4C4081A}"/>
    <cellStyle name="常规 5" xfId="9" xr:uid="{7295FAF8-211B-492B-95F0-7CEEB6BF0C30}"/>
    <cellStyle name="常规 5 2" xfId="12" xr:uid="{7295FAF8-211B-492B-95F0-7CEEB6BF0C30}"/>
    <cellStyle name="千位分隔" xfId="18" builtinId="3"/>
    <cellStyle name="千位分隔 2" xfId="13" xr:uid="{00000000-0005-0000-0000-000038000000}"/>
    <cellStyle name="千位分隔 2 3" xfId="7" xr:uid="{3BE6CFC0-0510-4D22-AF7A-C633C9CA1ABA}"/>
    <cellStyle name="千位分隔 2 3 2" xfId="11" xr:uid="{3BE6CFC0-0510-4D22-AF7A-C633C9CA1ABA}"/>
    <cellStyle name="千位分隔 2 3 3" xfId="15" xr:uid="{3BE6CFC0-0510-4D22-AF7A-C633C9CA1ABA}"/>
    <cellStyle name="千位分隔 3" xfId="16" xr:uid="{00000000-0005-0000-0000-00003B000000}"/>
    <cellStyle name="千位分隔[0] 3" xfId="6" xr:uid="{DC01F75F-1A49-457B-A0BD-9785D79F3F2D}"/>
    <cellStyle name="千位分隔[0] 3 2" xfId="10" xr:uid="{DC01F75F-1A49-457B-A0BD-9785D79F3F2D}"/>
    <cellStyle name="千位分隔[0] 3 3" xfId="14" xr:uid="{DC01F75F-1A49-457B-A0BD-9785D79F3F2D}"/>
  </cellStyles>
  <dxfs count="25">
    <dxf>
      <numFmt numFmtId="179" formatCode="0\.0,"/>
    </dxf>
    <dxf>
      <numFmt numFmtId="179" formatCode="0\.0,"/>
    </dxf>
    <dxf>
      <numFmt numFmtId="179" formatCode="0\.0,"/>
    </dxf>
    <dxf>
      <numFmt numFmtId="44" formatCode="yyyy&quot;年&quot;m&quot;月&quot;"/>
    </dxf>
    <dxf>
      <numFmt numFmtId="179" formatCode="0\.0,"/>
    </dxf>
    <dxf>
      <numFmt numFmtId="179" formatCode="0\.0,"/>
    </dxf>
    <dxf>
      <numFmt numFmtId="179" formatCode="0\.0,"/>
    </dxf>
    <dxf>
      <numFmt numFmtId="44" formatCode="yyyy&quot;年&quot;m&quot;月&quot;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6411B57-432C-4E00-A4E3-17D25CECBA4D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860C90FB-3CE8-4572-B95B-305786CFC0F0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FF0000FF"/>
      <color rgb="FF0033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 altLang="zh-CN">
                <a:latin typeface="微软雅黑" panose="020B0503020204020204" pitchFamily="34" charset="-122"/>
                <a:ea typeface="微软雅黑" panose="020B0503020204020204" pitchFamily="34" charset="-122"/>
              </a:rPr>
              <a:t>21</a:t>
            </a: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年</a:t>
            </a:r>
            <a:r>
              <a:rPr lang="en-US" altLang="zh-CN">
                <a:latin typeface="微软雅黑" panose="020B0503020204020204" pitchFamily="34" charset="-122"/>
                <a:ea typeface="微软雅黑" panose="020B0503020204020204" pitchFamily="34" charset="-122"/>
              </a:rPr>
              <a:t>-25</a:t>
            </a: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年 目标</a:t>
            </a:r>
          </a:p>
        </c:rich>
      </c:tx>
      <c:layout>
        <c:manualLayout>
          <c:xMode val="edge"/>
          <c:yMode val="edge"/>
          <c:x val="0.3922262710609962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1744500408040143E-2"/>
          <c:y val="6.9537037037037064E-2"/>
          <c:w val="0.95651099918391969"/>
          <c:h val="0.79949110527850686"/>
        </c:manualLayout>
      </c:layout>
      <c:lineChart>
        <c:grouping val="standard"/>
        <c:varyColors val="0"/>
        <c:ser>
          <c:idx val="0"/>
          <c:order val="0"/>
          <c:tx>
            <c:strRef>
              <c:f>历史数据23!$A$16</c:f>
              <c:strCache>
                <c:ptCount val="1"/>
                <c:pt idx="0">
                  <c:v>25年目标底限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2857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历史数据23!$B$15:$N$15</c:f>
              <c:strCache>
                <c:ptCount val="13"/>
                <c:pt idx="0">
                  <c:v>上年12月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历史数据23!$B$16:$N$16</c:f>
              <c:numCache>
                <c:formatCode>0\.0,</c:formatCode>
                <c:ptCount val="13"/>
                <c:pt idx="0">
                  <c:v>34045559.21332109</c:v>
                </c:pt>
                <c:pt idx="1">
                  <c:v>26173804.893045336</c:v>
                </c:pt>
                <c:pt idx="2">
                  <c:v>17686049.571711801</c:v>
                </c:pt>
                <c:pt idx="3">
                  <c:v>19048959.626740485</c:v>
                </c:pt>
                <c:pt idx="4">
                  <c:v>19350240.428988121</c:v>
                </c:pt>
                <c:pt idx="5">
                  <c:v>17292098.475927442</c:v>
                </c:pt>
                <c:pt idx="6">
                  <c:v>17358990.375158545</c:v>
                </c:pt>
                <c:pt idx="7">
                  <c:v>16452785.554703865</c:v>
                </c:pt>
                <c:pt idx="8">
                  <c:v>16855073.934534449</c:v>
                </c:pt>
                <c:pt idx="9">
                  <c:v>17312644.877152693</c:v>
                </c:pt>
                <c:pt idx="10">
                  <c:v>17776476.562620793</c:v>
                </c:pt>
                <c:pt idx="11">
                  <c:v>21990710.90044868</c:v>
                </c:pt>
                <c:pt idx="12">
                  <c:v>21233570.752294272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13-45EF-8026-BE8D54AE6573}"/>
            </c:ext>
          </c:extLst>
        </c:ser>
        <c:ser>
          <c:idx val="1"/>
          <c:order val="1"/>
          <c:tx>
            <c:strRef>
              <c:f>历史数据23!$A$17</c:f>
              <c:strCache>
                <c:ptCount val="1"/>
                <c:pt idx="0">
                  <c:v>24年目标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历史数据23!$B$15:$N$15</c:f>
              <c:strCache>
                <c:ptCount val="13"/>
                <c:pt idx="0">
                  <c:v>上年12月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历史数据23!$B$17:$N$17</c:f>
              <c:numCache>
                <c:formatCode>0\.0,</c:formatCode>
                <c:ptCount val="13"/>
                <c:pt idx="0">
                  <c:v>56333846.003553793</c:v>
                </c:pt>
                <c:pt idx="1">
                  <c:v>44747856.744550735</c:v>
                </c:pt>
                <c:pt idx="2">
                  <c:v>29199126.457360774</c:v>
                </c:pt>
                <c:pt idx="3">
                  <c:v>29378414.881233871</c:v>
                </c:pt>
                <c:pt idx="4">
                  <c:v>32095024.755253106</c:v>
                </c:pt>
                <c:pt idx="5">
                  <c:v>28744117.23990212</c:v>
                </c:pt>
                <c:pt idx="6">
                  <c:v>27194924.598316804</c:v>
                </c:pt>
                <c:pt idx="7">
                  <c:v>24260261.245337717</c:v>
                </c:pt>
                <c:pt idx="8">
                  <c:v>25705710.855425131</c:v>
                </c:pt>
                <c:pt idx="9">
                  <c:v>27796192.03329967</c:v>
                </c:pt>
                <c:pt idx="10">
                  <c:v>26391657.245317038</c:v>
                </c:pt>
                <c:pt idx="11">
                  <c:v>35458074.08568199</c:v>
                </c:pt>
                <c:pt idx="12">
                  <c:v>34045559.21332109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D39-412E-AFF4-B4E36286DA0A}"/>
            </c:ext>
          </c:extLst>
        </c:ser>
        <c:ser>
          <c:idx val="2"/>
          <c:order val="2"/>
          <c:tx>
            <c:strRef>
              <c:f>历史数据23!$A$18</c:f>
              <c:strCache>
                <c:ptCount val="1"/>
                <c:pt idx="0">
                  <c:v>23年目标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历史数据23!$B$15:$N$15</c:f>
              <c:strCache>
                <c:ptCount val="13"/>
                <c:pt idx="0">
                  <c:v>上年12月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历史数据23!$B$18:$N$18</c:f>
              <c:numCache>
                <c:formatCode>0\.0,</c:formatCode>
                <c:ptCount val="13"/>
                <c:pt idx="0">
                  <c:v>86894555.956678703</c:v>
                </c:pt>
                <c:pt idx="1">
                  <c:v>47378544.952916108</c:v>
                </c:pt>
                <c:pt idx="2">
                  <c:v>45126192.567257151</c:v>
                </c:pt>
                <c:pt idx="3">
                  <c:v>54136311.356602691</c:v>
                </c:pt>
                <c:pt idx="4">
                  <c:v>56001173.607802302</c:v>
                </c:pt>
                <c:pt idx="5">
                  <c:v>50966188.203386635</c:v>
                </c:pt>
                <c:pt idx="6">
                  <c:v>49063520.825464815</c:v>
                </c:pt>
                <c:pt idx="7">
                  <c:v>45903818.627429612</c:v>
                </c:pt>
                <c:pt idx="8">
                  <c:v>46153688.100397699</c:v>
                </c:pt>
                <c:pt idx="9">
                  <c:v>47003226.90764752</c:v>
                </c:pt>
                <c:pt idx="10">
                  <c:v>47193679.597559877</c:v>
                </c:pt>
                <c:pt idx="11">
                  <c:v>58264087.465588592</c:v>
                </c:pt>
                <c:pt idx="12">
                  <c:v>56333846.003553793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D39-412E-AFF4-B4E36286DA0A}"/>
            </c:ext>
          </c:extLst>
        </c:ser>
        <c:ser>
          <c:idx val="3"/>
          <c:order val="3"/>
          <c:tx>
            <c:strRef>
              <c:f>历史数据23!$A$19</c:f>
              <c:strCache>
                <c:ptCount val="1"/>
                <c:pt idx="0">
                  <c:v>22年目标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历史数据23!$B$15:$N$15</c:f>
              <c:strCache>
                <c:ptCount val="13"/>
                <c:pt idx="0">
                  <c:v>上年12月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历史数据23!$B$19:$N$19</c:f>
              <c:numCache>
                <c:formatCode>0\.0,</c:formatCode>
                <c:ptCount val="13"/>
                <c:pt idx="0">
                  <c:v>99574701.019409657</c:v>
                </c:pt>
                <c:pt idx="1">
                  <c:v>88504000</c:v>
                </c:pt>
                <c:pt idx="2">
                  <c:v>55315000</c:v>
                </c:pt>
                <c:pt idx="3">
                  <c:v>73317281.588447645</c:v>
                </c:pt>
                <c:pt idx="4">
                  <c:v>76937888.086642593</c:v>
                </c:pt>
                <c:pt idx="5">
                  <c:v>76937888.086642593</c:v>
                </c:pt>
                <c:pt idx="6">
                  <c:v>73317281.588447645</c:v>
                </c:pt>
                <c:pt idx="7">
                  <c:v>66076068.592057757</c:v>
                </c:pt>
                <c:pt idx="8">
                  <c:v>70601826.714801446</c:v>
                </c:pt>
                <c:pt idx="9">
                  <c:v>66981220.216606498</c:v>
                </c:pt>
                <c:pt idx="10">
                  <c:v>71506978.339350179</c:v>
                </c:pt>
                <c:pt idx="11">
                  <c:v>89610010.830324903</c:v>
                </c:pt>
                <c:pt idx="12">
                  <c:v>86894555.956678703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D39-412E-AFF4-B4E36286DA0A}"/>
            </c:ext>
          </c:extLst>
        </c:ser>
        <c:ser>
          <c:idx val="4"/>
          <c:order val="4"/>
          <c:tx>
            <c:strRef>
              <c:f>历史数据23!$A$20</c:f>
              <c:strCache>
                <c:ptCount val="1"/>
                <c:pt idx="0">
                  <c:v>21年目标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历史数据23!$B$15:$N$15</c:f>
              <c:strCache>
                <c:ptCount val="13"/>
                <c:pt idx="0">
                  <c:v>上年12月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历史数据23!$B$20:$N$20</c:f>
              <c:numCache>
                <c:formatCode>0\.0,</c:formatCode>
                <c:ptCount val="13"/>
                <c:pt idx="0">
                  <c:v>105427338.4428191</c:v>
                </c:pt>
                <c:pt idx="1">
                  <c:v>89580981</c:v>
                </c:pt>
                <c:pt idx="2">
                  <c:v>59114094</c:v>
                </c:pt>
                <c:pt idx="3">
                  <c:v>63618868.999999993</c:v>
                </c:pt>
                <c:pt idx="4">
                  <c:v>84540808.14740251</c:v>
                </c:pt>
                <c:pt idx="5">
                  <c:v>83124036.450063497</c:v>
                </c:pt>
                <c:pt idx="6">
                  <c:v>79579593.147508383</c:v>
                </c:pt>
                <c:pt idx="7">
                  <c:v>78427765.943643168</c:v>
                </c:pt>
                <c:pt idx="8">
                  <c:v>78023283.56783317</c:v>
                </c:pt>
                <c:pt idx="9">
                  <c:v>87858917.338018477</c:v>
                </c:pt>
                <c:pt idx="10">
                  <c:v>82285395.547754154</c:v>
                </c:pt>
                <c:pt idx="11">
                  <c:v>97724554.83836703</c:v>
                </c:pt>
                <c:pt idx="12">
                  <c:v>99574701.019409657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6D-4F0E-A65E-74CF26EE6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2822207"/>
        <c:axId val="1982816799"/>
      </c:lineChart>
      <c:catAx>
        <c:axId val="198282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982816799"/>
        <c:crosses val="autoZero"/>
        <c:auto val="1"/>
        <c:lblAlgn val="ctr"/>
        <c:lblOffset val="100"/>
        <c:noMultiLvlLbl val="0"/>
      </c:catAx>
      <c:valAx>
        <c:axId val="1982816799"/>
        <c:scaling>
          <c:orientation val="minMax"/>
        </c:scaling>
        <c:delete val="0"/>
        <c:axPos val="l"/>
        <c:numFmt formatCode="0\.0,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282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7289254621251119"/>
          <c:y val="0.12046296296296298"/>
          <c:w val="0.6694154886148890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 altLang="zh-CN">
                <a:latin typeface="微软雅黑" panose="020B0503020204020204" pitchFamily="34" charset="-122"/>
                <a:ea typeface="微软雅黑" panose="020B0503020204020204" pitchFamily="34" charset="-122"/>
              </a:rPr>
              <a:t>21</a:t>
            </a: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年</a:t>
            </a:r>
            <a:r>
              <a:rPr lang="en-US" altLang="zh-CN">
                <a:latin typeface="微软雅黑" panose="020B0503020204020204" pitchFamily="34" charset="-122"/>
                <a:ea typeface="微软雅黑" panose="020B0503020204020204" pitchFamily="34" charset="-122"/>
              </a:rPr>
              <a:t>-25</a:t>
            </a: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年实际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1744500408040143E-2"/>
          <c:y val="6.9537037037037064E-2"/>
          <c:w val="0.95651099918391969"/>
          <c:h val="0.79949110527850686"/>
        </c:manualLayout>
      </c:layout>
      <c:lineChart>
        <c:grouping val="standard"/>
        <c:varyColors val="0"/>
        <c:ser>
          <c:idx val="0"/>
          <c:order val="0"/>
          <c:tx>
            <c:strRef>
              <c:f>历史数据23!$A$23</c:f>
              <c:strCache>
                <c:ptCount val="1"/>
                <c:pt idx="0">
                  <c:v>25年目标底限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2857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历史数据23!$B$22:$N$22</c:f>
              <c:strCache>
                <c:ptCount val="13"/>
                <c:pt idx="0">
                  <c:v>上年12月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历史数据23!$B$23:$N$23</c:f>
              <c:numCache>
                <c:formatCode>0\.0,</c:formatCode>
                <c:ptCount val="13"/>
                <c:pt idx="0">
                  <c:v>27754348.505050506</c:v>
                </c:pt>
                <c:pt idx="1">
                  <c:v>26173804.893045336</c:v>
                </c:pt>
                <c:pt idx="2">
                  <c:v>17686049.571711801</c:v>
                </c:pt>
                <c:pt idx="3">
                  <c:v>19048959.626740485</c:v>
                </c:pt>
                <c:pt idx="4">
                  <c:v>19350240.428988121</c:v>
                </c:pt>
                <c:pt idx="5">
                  <c:v>17292098.475927442</c:v>
                </c:pt>
                <c:pt idx="6">
                  <c:v>17358990.375158545</c:v>
                </c:pt>
                <c:pt idx="7">
                  <c:v>16452785.554703865</c:v>
                </c:pt>
                <c:pt idx="8">
                  <c:v>16855073.934534449</c:v>
                </c:pt>
                <c:pt idx="9">
                  <c:v>17312644.877152693</c:v>
                </c:pt>
                <c:pt idx="10">
                  <c:v>17776476.562620793</c:v>
                </c:pt>
                <c:pt idx="11">
                  <c:v>21990710.90044868</c:v>
                </c:pt>
                <c:pt idx="12">
                  <c:v>21233570.752294272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40A-4307-89E6-BD27AA269425}"/>
            </c:ext>
          </c:extLst>
        </c:ser>
        <c:ser>
          <c:idx val="1"/>
          <c:order val="1"/>
          <c:tx>
            <c:strRef>
              <c:f>历史数据23!$A$24</c:f>
              <c:strCache>
                <c:ptCount val="1"/>
                <c:pt idx="0">
                  <c:v>24年实际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历史数据23!$B$22:$N$22</c:f>
              <c:strCache>
                <c:ptCount val="13"/>
                <c:pt idx="0">
                  <c:v>上年12月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历史数据23!$B$24:$N$24</c:f>
              <c:numCache>
                <c:formatCode>0\.0,</c:formatCode>
                <c:ptCount val="13"/>
                <c:pt idx="0">
                  <c:v>37653592.5</c:v>
                </c:pt>
                <c:pt idx="1">
                  <c:v>34006763.700000003</c:v>
                </c:pt>
                <c:pt idx="2">
                  <c:v>23684767.800000001</c:v>
                </c:pt>
                <c:pt idx="3">
                  <c:v>25054033.5</c:v>
                </c:pt>
                <c:pt idx="4">
                  <c:v>24919117.100000001</c:v>
                </c:pt>
                <c:pt idx="5">
                  <c:v>22040447</c:v>
                </c:pt>
                <c:pt idx="6">
                  <c:v>22879455.5</c:v>
                </c:pt>
                <c:pt idx="7">
                  <c:v>21936037.300000001</c:v>
                </c:pt>
                <c:pt idx="8">
                  <c:v>21669838.899999999</c:v>
                </c:pt>
                <c:pt idx="9">
                  <c:v>22210990.5</c:v>
                </c:pt>
                <c:pt idx="10">
                  <c:v>23889521</c:v>
                </c:pt>
                <c:pt idx="11">
                  <c:v>29188984</c:v>
                </c:pt>
                <c:pt idx="12">
                  <c:v>27754348.505050506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0A-4307-89E6-BD27AA269425}"/>
            </c:ext>
          </c:extLst>
        </c:ser>
        <c:ser>
          <c:idx val="2"/>
          <c:order val="2"/>
          <c:tx>
            <c:strRef>
              <c:f>历史数据23!$A$25</c:f>
              <c:strCache>
                <c:ptCount val="1"/>
                <c:pt idx="0">
                  <c:v>23年实际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历史数据23!$B$22:$N$22</c:f>
              <c:strCache>
                <c:ptCount val="13"/>
                <c:pt idx="0">
                  <c:v>上年12月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历史数据23!$B$25:$N$25</c:f>
              <c:numCache>
                <c:formatCode>0\.0,</c:formatCode>
                <c:ptCount val="13"/>
                <c:pt idx="0">
                  <c:v>52710000</c:v>
                </c:pt>
                <c:pt idx="1">
                  <c:v>48124680.799999997</c:v>
                </c:pt>
                <c:pt idx="2">
                  <c:v>30883669.800000001</c:v>
                </c:pt>
                <c:pt idx="3">
                  <c:v>33760030.900000006</c:v>
                </c:pt>
                <c:pt idx="4">
                  <c:v>34204404.5</c:v>
                </c:pt>
                <c:pt idx="5">
                  <c:v>31976608.800000001</c:v>
                </c:pt>
                <c:pt idx="6">
                  <c:v>31037673.800000001</c:v>
                </c:pt>
                <c:pt idx="7">
                  <c:v>28669117.300000001</c:v>
                </c:pt>
                <c:pt idx="8">
                  <c:v>30480858.199999999</c:v>
                </c:pt>
                <c:pt idx="9">
                  <c:v>30993082.5</c:v>
                </c:pt>
                <c:pt idx="10">
                  <c:v>30396484.100000001</c:v>
                </c:pt>
                <c:pt idx="11">
                  <c:v>38054013.600000001</c:v>
                </c:pt>
                <c:pt idx="12">
                  <c:v>37653592.5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0A-4307-89E6-BD27AA269425}"/>
            </c:ext>
          </c:extLst>
        </c:ser>
        <c:ser>
          <c:idx val="3"/>
          <c:order val="3"/>
          <c:tx>
            <c:strRef>
              <c:f>历史数据23!$A$26</c:f>
              <c:strCache>
                <c:ptCount val="1"/>
                <c:pt idx="0">
                  <c:v>21年实际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历史数据23!$B$22:$N$22</c:f>
              <c:strCache>
                <c:ptCount val="13"/>
                <c:pt idx="0">
                  <c:v>上年12月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历史数据23!$B$26:$N$26</c:f>
              <c:numCache>
                <c:formatCode>0\.0,</c:formatCode>
                <c:ptCount val="13"/>
                <c:pt idx="0">
                  <c:v>93174000</c:v>
                </c:pt>
                <c:pt idx="1">
                  <c:v>91162158</c:v>
                </c:pt>
                <c:pt idx="2">
                  <c:v>60438349</c:v>
                </c:pt>
                <c:pt idx="3">
                  <c:v>65649438</c:v>
                </c:pt>
                <c:pt idx="4">
                  <c:v>59056154</c:v>
                </c:pt>
                <c:pt idx="5">
                  <c:v>57947230</c:v>
                </c:pt>
                <c:pt idx="6">
                  <c:v>59862585.999999993</c:v>
                </c:pt>
                <c:pt idx="7">
                  <c:v>54090581</c:v>
                </c:pt>
                <c:pt idx="8">
                  <c:v>57695733.000000007</c:v>
                </c:pt>
                <c:pt idx="9">
                  <c:v>57445917</c:v>
                </c:pt>
                <c:pt idx="10">
                  <c:v>58112582</c:v>
                </c:pt>
                <c:pt idx="11">
                  <c:v>73618329</c:v>
                </c:pt>
                <c:pt idx="12">
                  <c:v>69664844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540A-4307-89E6-BD27AA269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2822207"/>
        <c:axId val="1982816799"/>
      </c:lineChart>
      <c:catAx>
        <c:axId val="198282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982816799"/>
        <c:crosses val="autoZero"/>
        <c:auto val="1"/>
        <c:lblAlgn val="ctr"/>
        <c:lblOffset val="100"/>
        <c:noMultiLvlLbl val="0"/>
      </c:catAx>
      <c:valAx>
        <c:axId val="1982816799"/>
        <c:scaling>
          <c:orientation val="minMax"/>
        </c:scaling>
        <c:delete val="0"/>
        <c:axPos val="l"/>
        <c:numFmt formatCode="0\.0,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2822207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3517578484507617"/>
          <c:y val="0.12509259259259262"/>
          <c:w val="0.57467007533149261"/>
          <c:h val="8.3717191601049873E-2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方案3预测!$B$1</c:f>
              <c:strCache>
                <c:ptCount val="1"/>
                <c:pt idx="0">
                  <c:v>利润额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方案3预测!$B$2:$B$38</c:f>
              <c:numCache>
                <c:formatCode>0\.0,</c:formatCode>
                <c:ptCount val="37"/>
                <c:pt idx="0">
                  <c:v>48308000</c:v>
                </c:pt>
                <c:pt idx="1">
                  <c:v>47418142.799999997</c:v>
                </c:pt>
                <c:pt idx="2">
                  <c:v>30642606.800000001</c:v>
                </c:pt>
                <c:pt idx="3">
                  <c:v>33392209.900000002</c:v>
                </c:pt>
                <c:pt idx="4">
                  <c:v>33852089.5</c:v>
                </c:pt>
                <c:pt idx="5">
                  <c:v>31498366.800000001</c:v>
                </c:pt>
                <c:pt idx="6">
                  <c:v>30298796.800000001</c:v>
                </c:pt>
                <c:pt idx="7">
                  <c:v>28220366.300000001</c:v>
                </c:pt>
                <c:pt idx="8">
                  <c:v>29898575.199999999</c:v>
                </c:pt>
                <c:pt idx="9">
                  <c:v>30053788.5</c:v>
                </c:pt>
                <c:pt idx="10">
                  <c:v>29436563.100000001</c:v>
                </c:pt>
                <c:pt idx="11">
                  <c:v>37262064.600000001</c:v>
                </c:pt>
                <c:pt idx="12">
                  <c:v>36649961.5</c:v>
                </c:pt>
                <c:pt idx="13">
                  <c:v>33320358.699999999</c:v>
                </c:pt>
                <c:pt idx="14">
                  <c:v>23139464.800000001</c:v>
                </c:pt>
                <c:pt idx="15">
                  <c:v>24789011.5</c:v>
                </c:pt>
                <c:pt idx="16">
                  <c:v>24686292.100000001</c:v>
                </c:pt>
                <c:pt idx="17">
                  <c:v>21738307</c:v>
                </c:pt>
                <c:pt idx="18">
                  <c:v>22590734.5</c:v>
                </c:pt>
                <c:pt idx="19">
                  <c:v>21807770.300000001</c:v>
                </c:pt>
                <c:pt idx="20">
                  <c:v>21463664.899999999</c:v>
                </c:pt>
                <c:pt idx="21">
                  <c:v>21792337.5</c:v>
                </c:pt>
                <c:pt idx="22">
                  <c:v>23541594</c:v>
                </c:pt>
                <c:pt idx="23">
                  <c:v>29061437</c:v>
                </c:pt>
                <c:pt idx="24">
                  <c:v>28574382.454545453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0-4C76-BB69-933DF2B3C547}"/>
            </c:ext>
          </c:extLst>
        </c:ser>
        <c:ser>
          <c:idx val="1"/>
          <c:order val="1"/>
          <c:tx>
            <c:strRef>
              <c:f>方案3预测!$C$1</c:f>
              <c:strCache>
                <c:ptCount val="1"/>
                <c:pt idx="0">
                  <c:v>趋势预测(利润额)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方案3预测!$A$2:$A$38</c:f>
              <c:numCache>
                <c:formatCode>yyyy"年"m"月"</c:formatCode>
                <c:ptCount val="37"/>
                <c:pt idx="0">
                  <c:v>44896</c:v>
                </c:pt>
                <c:pt idx="1">
                  <c:v>44927</c:v>
                </c:pt>
                <c:pt idx="2">
                  <c:v>44958</c:v>
                </c:pt>
                <c:pt idx="3">
                  <c:v>44986</c:v>
                </c:pt>
                <c:pt idx="4">
                  <c:v>45017</c:v>
                </c:pt>
                <c:pt idx="5">
                  <c:v>45047</c:v>
                </c:pt>
                <c:pt idx="6">
                  <c:v>45078</c:v>
                </c:pt>
                <c:pt idx="7">
                  <c:v>45108</c:v>
                </c:pt>
                <c:pt idx="8">
                  <c:v>45139</c:v>
                </c:pt>
                <c:pt idx="9">
                  <c:v>45170</c:v>
                </c:pt>
                <c:pt idx="10">
                  <c:v>45200</c:v>
                </c:pt>
                <c:pt idx="11">
                  <c:v>45231</c:v>
                </c:pt>
                <c:pt idx="12">
                  <c:v>45261</c:v>
                </c:pt>
                <c:pt idx="13">
                  <c:v>45292</c:v>
                </c:pt>
                <c:pt idx="14">
                  <c:v>45323</c:v>
                </c:pt>
                <c:pt idx="15">
                  <c:v>45352</c:v>
                </c:pt>
                <c:pt idx="16">
                  <c:v>45383</c:v>
                </c:pt>
                <c:pt idx="17">
                  <c:v>45413</c:v>
                </c:pt>
                <c:pt idx="18">
                  <c:v>45444</c:v>
                </c:pt>
                <c:pt idx="19">
                  <c:v>45474</c:v>
                </c:pt>
                <c:pt idx="20">
                  <c:v>45505</c:v>
                </c:pt>
                <c:pt idx="21">
                  <c:v>45536</c:v>
                </c:pt>
                <c:pt idx="22">
                  <c:v>45566</c:v>
                </c:pt>
                <c:pt idx="23">
                  <c:v>45597</c:v>
                </c:pt>
                <c:pt idx="24">
                  <c:v>45627</c:v>
                </c:pt>
                <c:pt idx="25">
                  <c:v>45658</c:v>
                </c:pt>
                <c:pt idx="26">
                  <c:v>45689</c:v>
                </c:pt>
                <c:pt idx="27">
                  <c:v>45717</c:v>
                </c:pt>
                <c:pt idx="28">
                  <c:v>45748</c:v>
                </c:pt>
                <c:pt idx="29">
                  <c:v>45778</c:v>
                </c:pt>
                <c:pt idx="30">
                  <c:v>45809</c:v>
                </c:pt>
                <c:pt idx="31">
                  <c:v>45839</c:v>
                </c:pt>
                <c:pt idx="32">
                  <c:v>45870</c:v>
                </c:pt>
                <c:pt idx="33">
                  <c:v>45901</c:v>
                </c:pt>
                <c:pt idx="34">
                  <c:v>45931</c:v>
                </c:pt>
                <c:pt idx="35">
                  <c:v>45962</c:v>
                </c:pt>
                <c:pt idx="36">
                  <c:v>45992</c:v>
                </c:pt>
              </c:numCache>
            </c:numRef>
          </c:cat>
          <c:val>
            <c:numRef>
              <c:f>方案3预测!$C$2:$C$38</c:f>
              <c:numCache>
                <c:formatCode>General</c:formatCode>
                <c:ptCount val="37"/>
                <c:pt idx="24" formatCode="0\.0,">
                  <c:v>28574382.454545453</c:v>
                </c:pt>
                <c:pt idx="25" formatCode="0\.0,">
                  <c:v>25834584.640301459</c:v>
                </c:pt>
                <c:pt idx="26" formatCode="0\.0,">
                  <c:v>14327880.16872734</c:v>
                </c:pt>
                <c:pt idx="27" formatCode="0\.0,">
                  <c:v>16312697.771588529</c:v>
                </c:pt>
                <c:pt idx="28" formatCode="0\.0,">
                  <c:v>16394847.067217279</c:v>
                </c:pt>
                <c:pt idx="29" formatCode="0\.0,">
                  <c:v>13889561.08477374</c:v>
                </c:pt>
                <c:pt idx="30" formatCode="0\.0,">
                  <c:v>13842670.907807892</c:v>
                </c:pt>
                <c:pt idx="31" formatCode="0\.0,">
                  <c:v>12409078.355547564</c:v>
                </c:pt>
                <c:pt idx="32" formatCode="0\.0,">
                  <c:v>13015468.965267906</c:v>
                </c:pt>
                <c:pt idx="33" formatCode="0\.0,">
                  <c:v>13294597.383860346</c:v>
                </c:pt>
                <c:pt idx="34" formatCode="0\.0,">
                  <c:v>13948974.603978468</c:v>
                </c:pt>
                <c:pt idx="35" formatCode="0\.0,">
                  <c:v>20487854.074709181</c:v>
                </c:pt>
                <c:pt idx="36" formatCode="0\.0,">
                  <c:v>19923150.085091397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20-4C76-BB69-933DF2B3C547}"/>
            </c:ext>
          </c:extLst>
        </c:ser>
        <c:ser>
          <c:idx val="2"/>
          <c:order val="2"/>
          <c:tx>
            <c:strRef>
              <c:f>方案3预测!$D$1</c:f>
              <c:strCache>
                <c:ptCount val="1"/>
                <c:pt idx="0">
                  <c:v>置信下限(利润额)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方案3预测!$A$2:$A$38</c:f>
              <c:numCache>
                <c:formatCode>yyyy"年"m"月"</c:formatCode>
                <c:ptCount val="37"/>
                <c:pt idx="0">
                  <c:v>44896</c:v>
                </c:pt>
                <c:pt idx="1">
                  <c:v>44927</c:v>
                </c:pt>
                <c:pt idx="2">
                  <c:v>44958</c:v>
                </c:pt>
                <c:pt idx="3">
                  <c:v>44986</c:v>
                </c:pt>
                <c:pt idx="4">
                  <c:v>45017</c:v>
                </c:pt>
                <c:pt idx="5">
                  <c:v>45047</c:v>
                </c:pt>
                <c:pt idx="6">
                  <c:v>45078</c:v>
                </c:pt>
                <c:pt idx="7">
                  <c:v>45108</c:v>
                </c:pt>
                <c:pt idx="8">
                  <c:v>45139</c:v>
                </c:pt>
                <c:pt idx="9">
                  <c:v>45170</c:v>
                </c:pt>
                <c:pt idx="10">
                  <c:v>45200</c:v>
                </c:pt>
                <c:pt idx="11">
                  <c:v>45231</c:v>
                </c:pt>
                <c:pt idx="12">
                  <c:v>45261</c:v>
                </c:pt>
                <c:pt idx="13">
                  <c:v>45292</c:v>
                </c:pt>
                <c:pt idx="14">
                  <c:v>45323</c:v>
                </c:pt>
                <c:pt idx="15">
                  <c:v>45352</c:v>
                </c:pt>
                <c:pt idx="16">
                  <c:v>45383</c:v>
                </c:pt>
                <c:pt idx="17">
                  <c:v>45413</c:v>
                </c:pt>
                <c:pt idx="18">
                  <c:v>45444</c:v>
                </c:pt>
                <c:pt idx="19">
                  <c:v>45474</c:v>
                </c:pt>
                <c:pt idx="20">
                  <c:v>45505</c:v>
                </c:pt>
                <c:pt idx="21">
                  <c:v>45536</c:v>
                </c:pt>
                <c:pt idx="22">
                  <c:v>45566</c:v>
                </c:pt>
                <c:pt idx="23">
                  <c:v>45597</c:v>
                </c:pt>
                <c:pt idx="24">
                  <c:v>45627</c:v>
                </c:pt>
                <c:pt idx="25">
                  <c:v>45658</c:v>
                </c:pt>
                <c:pt idx="26">
                  <c:v>45689</c:v>
                </c:pt>
                <c:pt idx="27">
                  <c:v>45717</c:v>
                </c:pt>
                <c:pt idx="28">
                  <c:v>45748</c:v>
                </c:pt>
                <c:pt idx="29">
                  <c:v>45778</c:v>
                </c:pt>
                <c:pt idx="30">
                  <c:v>45809</c:v>
                </c:pt>
                <c:pt idx="31">
                  <c:v>45839</c:v>
                </c:pt>
                <c:pt idx="32">
                  <c:v>45870</c:v>
                </c:pt>
                <c:pt idx="33">
                  <c:v>45901</c:v>
                </c:pt>
                <c:pt idx="34">
                  <c:v>45931</c:v>
                </c:pt>
                <c:pt idx="35">
                  <c:v>45962</c:v>
                </c:pt>
                <c:pt idx="36">
                  <c:v>45992</c:v>
                </c:pt>
              </c:numCache>
            </c:numRef>
          </c:cat>
          <c:val>
            <c:numRef>
              <c:f>方案3预测!$D$2:$D$38</c:f>
              <c:numCache>
                <c:formatCode>General</c:formatCode>
                <c:ptCount val="37"/>
                <c:pt idx="24" formatCode="0\.0,">
                  <c:v>28574382.454545453</c:v>
                </c:pt>
                <c:pt idx="25" formatCode="0\.0,">
                  <c:v>22974354.364791121</c:v>
                </c:pt>
                <c:pt idx="26" formatCode="0\.0,">
                  <c:v>11378229.647622691</c:v>
                </c:pt>
                <c:pt idx="27" formatCode="0\.0,">
                  <c:v>13275578.98438897</c:v>
                </c:pt>
                <c:pt idx="28" formatCode="0\.0,">
                  <c:v>13272045.347046241</c:v>
                </c:pt>
                <c:pt idx="29" formatCode="0\.0,">
                  <c:v>10682716.10468577</c:v>
                </c:pt>
                <c:pt idx="30" formatCode="0\.0,">
                  <c:v>10553294.170820836</c:v>
                </c:pt>
                <c:pt idx="31" formatCode="0\.0,">
                  <c:v>9038567.9016420636</c:v>
                </c:pt>
                <c:pt idx="32" formatCode="0\.0,">
                  <c:v>9565121.8386277724</c:v>
                </c:pt>
                <c:pt idx="33" formatCode="0\.0,">
                  <c:v>9765620.2795213647</c:v>
                </c:pt>
                <c:pt idx="34" formatCode="0\.0,">
                  <c:v>10342493.021102231</c:v>
                </c:pt>
                <c:pt idx="35" formatCode="0\.0,">
                  <c:v>16804920.234660119</c:v>
                </c:pt>
                <c:pt idx="36" formatCode="0\.0,">
                  <c:v>16164749.820026182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20-4C76-BB69-933DF2B3C547}"/>
            </c:ext>
          </c:extLst>
        </c:ser>
        <c:ser>
          <c:idx val="3"/>
          <c:order val="3"/>
          <c:tx>
            <c:strRef>
              <c:f>方案3预测!$E$1</c:f>
              <c:strCache>
                <c:ptCount val="1"/>
                <c:pt idx="0">
                  <c:v>置信上限(利润额)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方案3预测!$A$2:$A$38</c:f>
              <c:numCache>
                <c:formatCode>yyyy"年"m"月"</c:formatCode>
                <c:ptCount val="37"/>
                <c:pt idx="0">
                  <c:v>44896</c:v>
                </c:pt>
                <c:pt idx="1">
                  <c:v>44927</c:v>
                </c:pt>
                <c:pt idx="2">
                  <c:v>44958</c:v>
                </c:pt>
                <c:pt idx="3">
                  <c:v>44986</c:v>
                </c:pt>
                <c:pt idx="4">
                  <c:v>45017</c:v>
                </c:pt>
                <c:pt idx="5">
                  <c:v>45047</c:v>
                </c:pt>
                <c:pt idx="6">
                  <c:v>45078</c:v>
                </c:pt>
                <c:pt idx="7">
                  <c:v>45108</c:v>
                </c:pt>
                <c:pt idx="8">
                  <c:v>45139</c:v>
                </c:pt>
                <c:pt idx="9">
                  <c:v>45170</c:v>
                </c:pt>
                <c:pt idx="10">
                  <c:v>45200</c:v>
                </c:pt>
                <c:pt idx="11">
                  <c:v>45231</c:v>
                </c:pt>
                <c:pt idx="12">
                  <c:v>45261</c:v>
                </c:pt>
                <c:pt idx="13">
                  <c:v>45292</c:v>
                </c:pt>
                <c:pt idx="14">
                  <c:v>45323</c:v>
                </c:pt>
                <c:pt idx="15">
                  <c:v>45352</c:v>
                </c:pt>
                <c:pt idx="16">
                  <c:v>45383</c:v>
                </c:pt>
                <c:pt idx="17">
                  <c:v>45413</c:v>
                </c:pt>
                <c:pt idx="18">
                  <c:v>45444</c:v>
                </c:pt>
                <c:pt idx="19">
                  <c:v>45474</c:v>
                </c:pt>
                <c:pt idx="20">
                  <c:v>45505</c:v>
                </c:pt>
                <c:pt idx="21">
                  <c:v>45536</c:v>
                </c:pt>
                <c:pt idx="22">
                  <c:v>45566</c:v>
                </c:pt>
                <c:pt idx="23">
                  <c:v>45597</c:v>
                </c:pt>
                <c:pt idx="24">
                  <c:v>45627</c:v>
                </c:pt>
                <c:pt idx="25">
                  <c:v>45658</c:v>
                </c:pt>
                <c:pt idx="26">
                  <c:v>45689</c:v>
                </c:pt>
                <c:pt idx="27">
                  <c:v>45717</c:v>
                </c:pt>
                <c:pt idx="28">
                  <c:v>45748</c:v>
                </c:pt>
                <c:pt idx="29">
                  <c:v>45778</c:v>
                </c:pt>
                <c:pt idx="30">
                  <c:v>45809</c:v>
                </c:pt>
                <c:pt idx="31">
                  <c:v>45839</c:v>
                </c:pt>
                <c:pt idx="32">
                  <c:v>45870</c:v>
                </c:pt>
                <c:pt idx="33">
                  <c:v>45901</c:v>
                </c:pt>
                <c:pt idx="34">
                  <c:v>45931</c:v>
                </c:pt>
                <c:pt idx="35">
                  <c:v>45962</c:v>
                </c:pt>
                <c:pt idx="36">
                  <c:v>45992</c:v>
                </c:pt>
              </c:numCache>
            </c:numRef>
          </c:cat>
          <c:val>
            <c:numRef>
              <c:f>方案3预测!$E$2:$E$38</c:f>
              <c:numCache>
                <c:formatCode>General</c:formatCode>
                <c:ptCount val="37"/>
                <c:pt idx="24" formatCode="0\.0,">
                  <c:v>28574382.454545453</c:v>
                </c:pt>
                <c:pt idx="25" formatCode="0\.0,">
                  <c:v>28694814.915811796</c:v>
                </c:pt>
                <c:pt idx="26" formatCode="0\.0,">
                  <c:v>17277530.689831987</c:v>
                </c:pt>
                <c:pt idx="27" formatCode="0\.0,">
                  <c:v>19349816.558788087</c:v>
                </c:pt>
                <c:pt idx="28" formatCode="0\.0,">
                  <c:v>19517648.787388317</c:v>
                </c:pt>
                <c:pt idx="29" formatCode="0\.0,">
                  <c:v>17096406.064861711</c:v>
                </c:pt>
                <c:pt idx="30" formatCode="0\.0,">
                  <c:v>17132047.644794948</c:v>
                </c:pt>
                <c:pt idx="31" formatCode="0\.0,">
                  <c:v>15779588.809453065</c:v>
                </c:pt>
                <c:pt idx="32" formatCode="0\.0,">
                  <c:v>16465816.09190804</c:v>
                </c:pt>
                <c:pt idx="33" formatCode="0\.0,">
                  <c:v>16823574.488199327</c:v>
                </c:pt>
                <c:pt idx="34" formatCode="0\.0,">
                  <c:v>17555456.186854705</c:v>
                </c:pt>
                <c:pt idx="35" formatCode="0\.0,">
                  <c:v>24170787.914758243</c:v>
                </c:pt>
                <c:pt idx="36" formatCode="0\.0,">
                  <c:v>23681550.350156613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20-4C76-BB69-933DF2B3C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2230624"/>
        <c:axId val="2042221472"/>
      </c:lineChart>
      <c:catAx>
        <c:axId val="204223062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2221472"/>
        <c:crosses val="autoZero"/>
        <c:auto val="1"/>
        <c:lblAlgn val="ctr"/>
        <c:lblOffset val="100"/>
        <c:noMultiLvlLbl val="0"/>
      </c:catAx>
      <c:valAx>
        <c:axId val="204222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223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利润额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Sheet1!$B$2:$B$38</c:f>
              <c:numCache>
                <c:formatCode>0\.0,</c:formatCode>
                <c:ptCount val="37"/>
                <c:pt idx="0">
                  <c:v>52710000</c:v>
                </c:pt>
                <c:pt idx="1">
                  <c:v>48124680.799999997</c:v>
                </c:pt>
                <c:pt idx="2">
                  <c:v>30883669.800000001</c:v>
                </c:pt>
                <c:pt idx="3">
                  <c:v>33760030.900000006</c:v>
                </c:pt>
                <c:pt idx="4">
                  <c:v>34204404.5</c:v>
                </c:pt>
                <c:pt idx="5">
                  <c:v>31976608.800000001</c:v>
                </c:pt>
                <c:pt idx="6">
                  <c:v>31037673.800000001</c:v>
                </c:pt>
                <c:pt idx="7">
                  <c:v>28669117.300000001</c:v>
                </c:pt>
                <c:pt idx="8">
                  <c:v>30480858.199999999</c:v>
                </c:pt>
                <c:pt idx="9">
                  <c:v>30993082.5</c:v>
                </c:pt>
                <c:pt idx="10">
                  <c:v>30396484.100000001</c:v>
                </c:pt>
                <c:pt idx="11">
                  <c:v>38054013.600000001</c:v>
                </c:pt>
                <c:pt idx="12">
                  <c:v>37653592.5</c:v>
                </c:pt>
                <c:pt idx="13">
                  <c:v>34006763.700000003</c:v>
                </c:pt>
                <c:pt idx="14">
                  <c:v>23684767.800000001</c:v>
                </c:pt>
                <c:pt idx="15">
                  <c:v>25054033.5</c:v>
                </c:pt>
                <c:pt idx="16">
                  <c:v>24919117.100000001</c:v>
                </c:pt>
                <c:pt idx="17">
                  <c:v>22040447</c:v>
                </c:pt>
                <c:pt idx="18">
                  <c:v>22879455.5</c:v>
                </c:pt>
                <c:pt idx="19">
                  <c:v>21936037.300000001</c:v>
                </c:pt>
                <c:pt idx="20">
                  <c:v>21669838.899999999</c:v>
                </c:pt>
                <c:pt idx="21">
                  <c:v>22210990.5</c:v>
                </c:pt>
                <c:pt idx="22">
                  <c:v>23889521</c:v>
                </c:pt>
                <c:pt idx="23">
                  <c:v>29188984</c:v>
                </c:pt>
                <c:pt idx="24">
                  <c:v>28673788.18181818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3-41B8-901C-460EDF5FFE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趋势预测(利润额)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Sheet1!$A$2:$A$38</c:f>
              <c:numCache>
                <c:formatCode>yyyy"年"m"月"</c:formatCode>
                <c:ptCount val="37"/>
                <c:pt idx="0">
                  <c:v>44896</c:v>
                </c:pt>
                <c:pt idx="1">
                  <c:v>44927</c:v>
                </c:pt>
                <c:pt idx="2">
                  <c:v>44958</c:v>
                </c:pt>
                <c:pt idx="3">
                  <c:v>44986</c:v>
                </c:pt>
                <c:pt idx="4">
                  <c:v>45017</c:v>
                </c:pt>
                <c:pt idx="5">
                  <c:v>45047</c:v>
                </c:pt>
                <c:pt idx="6">
                  <c:v>45078</c:v>
                </c:pt>
                <c:pt idx="7">
                  <c:v>45108</c:v>
                </c:pt>
                <c:pt idx="8">
                  <c:v>45139</c:v>
                </c:pt>
                <c:pt idx="9">
                  <c:v>45170</c:v>
                </c:pt>
                <c:pt idx="10">
                  <c:v>45200</c:v>
                </c:pt>
                <c:pt idx="11">
                  <c:v>45231</c:v>
                </c:pt>
                <c:pt idx="12">
                  <c:v>45261</c:v>
                </c:pt>
                <c:pt idx="13">
                  <c:v>45292</c:v>
                </c:pt>
                <c:pt idx="14">
                  <c:v>45323</c:v>
                </c:pt>
                <c:pt idx="15">
                  <c:v>45352</c:v>
                </c:pt>
                <c:pt idx="16">
                  <c:v>45383</c:v>
                </c:pt>
                <c:pt idx="17">
                  <c:v>45413</c:v>
                </c:pt>
                <c:pt idx="18">
                  <c:v>45444</c:v>
                </c:pt>
                <c:pt idx="19">
                  <c:v>45474</c:v>
                </c:pt>
                <c:pt idx="20">
                  <c:v>45505</c:v>
                </c:pt>
                <c:pt idx="21">
                  <c:v>45536</c:v>
                </c:pt>
                <c:pt idx="22">
                  <c:v>45566</c:v>
                </c:pt>
                <c:pt idx="23">
                  <c:v>45597</c:v>
                </c:pt>
                <c:pt idx="24">
                  <c:v>45627</c:v>
                </c:pt>
                <c:pt idx="25">
                  <c:v>45658</c:v>
                </c:pt>
                <c:pt idx="26">
                  <c:v>45689</c:v>
                </c:pt>
                <c:pt idx="27">
                  <c:v>45717</c:v>
                </c:pt>
                <c:pt idx="28">
                  <c:v>45748</c:v>
                </c:pt>
                <c:pt idx="29">
                  <c:v>45778</c:v>
                </c:pt>
                <c:pt idx="30">
                  <c:v>45809</c:v>
                </c:pt>
                <c:pt idx="31">
                  <c:v>45839</c:v>
                </c:pt>
                <c:pt idx="32">
                  <c:v>45870</c:v>
                </c:pt>
                <c:pt idx="33">
                  <c:v>45901</c:v>
                </c:pt>
                <c:pt idx="34">
                  <c:v>45931</c:v>
                </c:pt>
                <c:pt idx="35">
                  <c:v>45962</c:v>
                </c:pt>
                <c:pt idx="36">
                  <c:v>45992</c:v>
                </c:pt>
              </c:numCache>
            </c:numRef>
          </c:cat>
          <c:val>
            <c:numRef>
              <c:f>Sheet1!$C$2:$C$38</c:f>
              <c:numCache>
                <c:formatCode>General</c:formatCode>
                <c:ptCount val="37"/>
                <c:pt idx="24" formatCode="0\.0,">
                  <c:v>28673788.18181818</c:v>
                </c:pt>
                <c:pt idx="25" formatCode="0\.0,">
                  <c:v>25303104.609716568</c:v>
                </c:pt>
                <c:pt idx="26" formatCode="0\.0,">
                  <c:v>13691805.502044624</c:v>
                </c:pt>
                <c:pt idx="27" formatCode="0\.0,">
                  <c:v>15565632.666823054</c:v>
                </c:pt>
                <c:pt idx="28" formatCode="0\.0,">
                  <c:v>15683316.033322603</c:v>
                </c:pt>
                <c:pt idx="29" formatCode="0\.0,">
                  <c:v>13196264.26109948</c:v>
                </c:pt>
                <c:pt idx="30" formatCode="0\.0,">
                  <c:v>13288898.230388027</c:v>
                </c:pt>
                <c:pt idx="31" formatCode="0\.0,">
                  <c:v>11657390.854322515</c:v>
                </c:pt>
                <c:pt idx="32" formatCode="0\.0,">
                  <c:v>12386824.720479975</c:v>
                </c:pt>
                <c:pt idx="33" formatCode="0\.0,">
                  <c:v>12957849.21673198</c:v>
                </c:pt>
                <c:pt idx="34" formatCode="0\.0,">
                  <c:v>13593989.439693078</c:v>
                </c:pt>
                <c:pt idx="35" formatCode="0\.0,">
                  <c:v>20018706.475322966</c:v>
                </c:pt>
                <c:pt idx="36" formatCode="0\.0,">
                  <c:v>19618517.770179674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3-41B8-901C-460EDF5FFE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置信下限(利润额)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Sheet1!$A$2:$A$38</c:f>
              <c:numCache>
                <c:formatCode>yyyy"年"m"月"</c:formatCode>
                <c:ptCount val="37"/>
                <c:pt idx="0">
                  <c:v>44896</c:v>
                </c:pt>
                <c:pt idx="1">
                  <c:v>44927</c:v>
                </c:pt>
                <c:pt idx="2">
                  <c:v>44958</c:v>
                </c:pt>
                <c:pt idx="3">
                  <c:v>44986</c:v>
                </c:pt>
                <c:pt idx="4">
                  <c:v>45017</c:v>
                </c:pt>
                <c:pt idx="5">
                  <c:v>45047</c:v>
                </c:pt>
                <c:pt idx="6">
                  <c:v>45078</c:v>
                </c:pt>
                <c:pt idx="7">
                  <c:v>45108</c:v>
                </c:pt>
                <c:pt idx="8">
                  <c:v>45139</c:v>
                </c:pt>
                <c:pt idx="9">
                  <c:v>45170</c:v>
                </c:pt>
                <c:pt idx="10">
                  <c:v>45200</c:v>
                </c:pt>
                <c:pt idx="11">
                  <c:v>45231</c:v>
                </c:pt>
                <c:pt idx="12">
                  <c:v>45261</c:v>
                </c:pt>
                <c:pt idx="13">
                  <c:v>45292</c:v>
                </c:pt>
                <c:pt idx="14">
                  <c:v>45323</c:v>
                </c:pt>
                <c:pt idx="15">
                  <c:v>45352</c:v>
                </c:pt>
                <c:pt idx="16">
                  <c:v>45383</c:v>
                </c:pt>
                <c:pt idx="17">
                  <c:v>45413</c:v>
                </c:pt>
                <c:pt idx="18">
                  <c:v>45444</c:v>
                </c:pt>
                <c:pt idx="19">
                  <c:v>45474</c:v>
                </c:pt>
                <c:pt idx="20">
                  <c:v>45505</c:v>
                </c:pt>
                <c:pt idx="21">
                  <c:v>45536</c:v>
                </c:pt>
                <c:pt idx="22">
                  <c:v>45566</c:v>
                </c:pt>
                <c:pt idx="23">
                  <c:v>45597</c:v>
                </c:pt>
                <c:pt idx="24">
                  <c:v>45627</c:v>
                </c:pt>
                <c:pt idx="25">
                  <c:v>45658</c:v>
                </c:pt>
                <c:pt idx="26">
                  <c:v>45689</c:v>
                </c:pt>
                <c:pt idx="27">
                  <c:v>45717</c:v>
                </c:pt>
                <c:pt idx="28">
                  <c:v>45748</c:v>
                </c:pt>
                <c:pt idx="29">
                  <c:v>45778</c:v>
                </c:pt>
                <c:pt idx="30">
                  <c:v>45809</c:v>
                </c:pt>
                <c:pt idx="31">
                  <c:v>45839</c:v>
                </c:pt>
                <c:pt idx="32">
                  <c:v>45870</c:v>
                </c:pt>
                <c:pt idx="33">
                  <c:v>45901</c:v>
                </c:pt>
                <c:pt idx="34">
                  <c:v>45931</c:v>
                </c:pt>
                <c:pt idx="35">
                  <c:v>45962</c:v>
                </c:pt>
                <c:pt idx="36">
                  <c:v>45992</c:v>
                </c:pt>
              </c:numCache>
            </c:numRef>
          </c:cat>
          <c:val>
            <c:numRef>
              <c:f>Sheet1!$D$2:$D$38</c:f>
              <c:numCache>
                <c:formatCode>General</c:formatCode>
                <c:ptCount val="37"/>
                <c:pt idx="24" formatCode="0\.0,">
                  <c:v>28673788.18181818</c:v>
                </c:pt>
                <c:pt idx="25" formatCode="0\.0,">
                  <c:v>21277763.242332391</c:v>
                </c:pt>
                <c:pt idx="26" formatCode="0\.0,">
                  <c:v>9540618.6680368874</c:v>
                </c:pt>
                <c:pt idx="27" formatCode="0\.0,">
                  <c:v>11291347.482007746</c:v>
                </c:pt>
                <c:pt idx="28" formatCode="0\.0,">
                  <c:v>11288445.083954696</c:v>
                </c:pt>
                <c:pt idx="29" formatCode="0\.0,">
                  <c:v>8683115.1389249861</c:v>
                </c:pt>
                <c:pt idx="30" formatCode="0\.0,">
                  <c:v>8659598.1472180896</c:v>
                </c:pt>
                <c:pt idx="31" formatCode="0\.0,">
                  <c:v>6913907.3399100797</c:v>
                </c:pt>
                <c:pt idx="32" formatCode="0\.0,">
                  <c:v>7530983.1682743449</c:v>
                </c:pt>
                <c:pt idx="33" formatCode="0\.0,">
                  <c:v>7991347.8674262026</c:v>
                </c:pt>
                <c:pt idx="34" formatCode="0\.0,">
                  <c:v>8518412.2630720027</c:v>
                </c:pt>
                <c:pt idx="35" formatCode="0\.0,">
                  <c:v>14835534.313758679</c:v>
                </c:pt>
                <c:pt idx="36" formatCode="0\.0,">
                  <c:v>14329138.033278842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83-41B8-901C-460EDF5FFE5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置信上限(利润额)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Sheet1!$A$2:$A$38</c:f>
              <c:numCache>
                <c:formatCode>yyyy"年"m"月"</c:formatCode>
                <c:ptCount val="37"/>
                <c:pt idx="0">
                  <c:v>44896</c:v>
                </c:pt>
                <c:pt idx="1">
                  <c:v>44927</c:v>
                </c:pt>
                <c:pt idx="2">
                  <c:v>44958</c:v>
                </c:pt>
                <c:pt idx="3">
                  <c:v>44986</c:v>
                </c:pt>
                <c:pt idx="4">
                  <c:v>45017</c:v>
                </c:pt>
                <c:pt idx="5">
                  <c:v>45047</c:v>
                </c:pt>
                <c:pt idx="6">
                  <c:v>45078</c:v>
                </c:pt>
                <c:pt idx="7">
                  <c:v>45108</c:v>
                </c:pt>
                <c:pt idx="8">
                  <c:v>45139</c:v>
                </c:pt>
                <c:pt idx="9">
                  <c:v>45170</c:v>
                </c:pt>
                <c:pt idx="10">
                  <c:v>45200</c:v>
                </c:pt>
                <c:pt idx="11">
                  <c:v>45231</c:v>
                </c:pt>
                <c:pt idx="12">
                  <c:v>45261</c:v>
                </c:pt>
                <c:pt idx="13">
                  <c:v>45292</c:v>
                </c:pt>
                <c:pt idx="14">
                  <c:v>45323</c:v>
                </c:pt>
                <c:pt idx="15">
                  <c:v>45352</c:v>
                </c:pt>
                <c:pt idx="16">
                  <c:v>45383</c:v>
                </c:pt>
                <c:pt idx="17">
                  <c:v>45413</c:v>
                </c:pt>
                <c:pt idx="18">
                  <c:v>45444</c:v>
                </c:pt>
                <c:pt idx="19">
                  <c:v>45474</c:v>
                </c:pt>
                <c:pt idx="20">
                  <c:v>45505</c:v>
                </c:pt>
                <c:pt idx="21">
                  <c:v>45536</c:v>
                </c:pt>
                <c:pt idx="22">
                  <c:v>45566</c:v>
                </c:pt>
                <c:pt idx="23">
                  <c:v>45597</c:v>
                </c:pt>
                <c:pt idx="24">
                  <c:v>45627</c:v>
                </c:pt>
                <c:pt idx="25">
                  <c:v>45658</c:v>
                </c:pt>
                <c:pt idx="26">
                  <c:v>45689</c:v>
                </c:pt>
                <c:pt idx="27">
                  <c:v>45717</c:v>
                </c:pt>
                <c:pt idx="28">
                  <c:v>45748</c:v>
                </c:pt>
                <c:pt idx="29">
                  <c:v>45778</c:v>
                </c:pt>
                <c:pt idx="30">
                  <c:v>45809</c:v>
                </c:pt>
                <c:pt idx="31">
                  <c:v>45839</c:v>
                </c:pt>
                <c:pt idx="32">
                  <c:v>45870</c:v>
                </c:pt>
                <c:pt idx="33">
                  <c:v>45901</c:v>
                </c:pt>
                <c:pt idx="34">
                  <c:v>45931</c:v>
                </c:pt>
                <c:pt idx="35">
                  <c:v>45962</c:v>
                </c:pt>
                <c:pt idx="36">
                  <c:v>45992</c:v>
                </c:pt>
              </c:numCache>
            </c:numRef>
          </c:cat>
          <c:val>
            <c:numRef>
              <c:f>Sheet1!$E$2:$E$38</c:f>
              <c:numCache>
                <c:formatCode>General</c:formatCode>
                <c:ptCount val="37"/>
                <c:pt idx="24" formatCode="0\.0,">
                  <c:v>28673788.18181818</c:v>
                </c:pt>
                <c:pt idx="25" formatCode="0\.0,">
                  <c:v>29328445.977100745</c:v>
                </c:pt>
                <c:pt idx="26" formatCode="0\.0,">
                  <c:v>17842992.336052358</c:v>
                </c:pt>
                <c:pt idx="27" formatCode="0\.0,">
                  <c:v>19839917.851638362</c:v>
                </c:pt>
                <c:pt idx="28" formatCode="0\.0,">
                  <c:v>20078186.982690509</c:v>
                </c:pt>
                <c:pt idx="29" formatCode="0\.0,">
                  <c:v>17709413.383273974</c:v>
                </c:pt>
                <c:pt idx="30" formatCode="0\.0,">
                  <c:v>17918198.313557964</c:v>
                </c:pt>
                <c:pt idx="31" formatCode="0\.0,">
                  <c:v>16400874.368734952</c:v>
                </c:pt>
                <c:pt idx="32" formatCode="0\.0,">
                  <c:v>17242666.272685602</c:v>
                </c:pt>
                <c:pt idx="33" formatCode="0\.0,">
                  <c:v>17924350.566037759</c:v>
                </c:pt>
                <c:pt idx="34" formatCode="0\.0,">
                  <c:v>18669566.616314154</c:v>
                </c:pt>
                <c:pt idx="35" formatCode="0\.0,">
                  <c:v>25201878.636887252</c:v>
                </c:pt>
                <c:pt idx="36" formatCode="0\.0,">
                  <c:v>24907897.507080507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83-41B8-901C-460EDF5FF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67264"/>
        <c:axId val="402266432"/>
      </c:lineChart>
      <c:catAx>
        <c:axId val="40226726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2266432"/>
        <c:crosses val="autoZero"/>
        <c:auto val="1"/>
        <c:lblAlgn val="ctr"/>
        <c:lblOffset val="100"/>
        <c:noMultiLvlLbl val="0"/>
      </c:catAx>
      <c:valAx>
        <c:axId val="40226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226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261935</xdr:colOff>
      <xdr:row>2</xdr:row>
      <xdr:rowOff>104775</xdr:rowOff>
    </xdr:from>
    <xdr:to>
      <xdr:col>24</xdr:col>
      <xdr:colOff>657224</xdr:colOff>
      <xdr:row>15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27A3D53-A8D6-436A-B266-A9A61C387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17</xdr:row>
      <xdr:rowOff>0</xdr:rowOff>
    </xdr:from>
    <xdr:to>
      <xdr:col>25</xdr:col>
      <xdr:colOff>38100</xdr:colOff>
      <xdr:row>30</xdr:row>
      <xdr:rowOff>19050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BB0F0A-330A-4B6F-9EA7-72E2EE443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366712</xdr:colOff>
      <xdr:row>10</xdr:row>
      <xdr:rowOff>114300</xdr:rowOff>
    </xdr:from>
    <xdr:to>
      <xdr:col>22</xdr:col>
      <xdr:colOff>328612</xdr:colOff>
      <xdr:row>26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CC4BEDB-2EA2-49A4-9606-06355535F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71437</xdr:colOff>
      <xdr:row>12</xdr:row>
      <xdr:rowOff>133350</xdr:rowOff>
    </xdr:from>
    <xdr:to>
      <xdr:col>22</xdr:col>
      <xdr:colOff>33337</xdr:colOff>
      <xdr:row>28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2D4CF7A-445C-4057-8D50-2E588739A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7DE2D-3932-4D5A-A978-DFEA52078F76}" name="表1" displayName="表1" ref="A1:E38" totalsRowShown="0">
  <autoFilter ref="A1:E38" xr:uid="{3127DE2D-3932-4D5A-A978-DFEA52078F76}"/>
  <tableColumns count="5">
    <tableColumn id="1" xr3:uid="{67AF1F33-5B6A-4D6C-9008-AC480810E7E9}" name="年月" dataDxfId="7"/>
    <tableColumn id="2" xr3:uid="{157EB30C-79AC-47F2-A35B-A8701EF12D42}" name="利润额"/>
    <tableColumn id="3" xr3:uid="{5F5F0E71-821D-4D08-9AB1-1FB9C12DB071}" name="趋势预测(利润额)" dataDxfId="6">
      <calculatedColumnFormula>_xlfn.FORECAST.ETS(A2,$B$2:$B$26,$A$2:$A$26,12,1)</calculatedColumnFormula>
    </tableColumn>
    <tableColumn id="4" xr3:uid="{506C4457-47FE-4A15-AE01-2FA2FDA1158B}" name="置信下限(利润额)" dataDxfId="5">
      <calculatedColumnFormula>C2-_xlfn.FORECAST.ETS.CONFINT(A2,$B$2:$B$26,$A$2:$A$26,0.95,12,1)</calculatedColumnFormula>
    </tableColumn>
    <tableColumn id="5" xr3:uid="{4B347D47-C45B-41D7-B8F0-EAD7870767F3}" name="置信上限(利润额)" dataDxfId="4">
      <calculatedColumnFormula>C2+_xlfn.FORECAST.ETS.CONFINT(A2,$B$2:$B$26,$A$2:$A$26,0.95,12,1)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4F63CB-7628-4659-B1F4-9FB5263DC1D9}" name="表2" displayName="表2" ref="A1:E38" totalsRowShown="0">
  <autoFilter ref="A1:E38" xr:uid="{5C4F63CB-7628-4659-B1F4-9FB5263DC1D9}"/>
  <tableColumns count="5">
    <tableColumn id="1" xr3:uid="{7C176630-1732-49F2-9821-EA291E1B2A76}" name="年月" dataDxfId="3"/>
    <tableColumn id="2" xr3:uid="{AF32BE6F-231A-4218-AE41-5AF0710C03EE}" name="利润额"/>
    <tableColumn id="3" xr3:uid="{E99A20AB-2298-482A-80BE-FB984691267D}" name="趋势预测(利润额)" dataDxfId="2">
      <calculatedColumnFormula>_xlfn.FORECAST.ETS(A2,$B$2:$B$26,$A$2:$A$26,12,1)</calculatedColumnFormula>
    </tableColumn>
    <tableColumn id="4" xr3:uid="{295CFBF9-F552-40C0-ABFF-7482ADAF5B4F}" name="置信下限(利润额)" dataDxfId="1">
      <calculatedColumnFormula>C2-_xlfn.FORECAST.ETS.CONFINT(A2,$B$2:$B$26,$A$2:$A$26,0.95,12,1)</calculatedColumnFormula>
    </tableColumn>
    <tableColumn id="5" xr3:uid="{B42F7E2F-387D-4989-95BC-ED7A2A8D7D59}" name="置信上限(利润额)" dataDxfId="0">
      <calculatedColumnFormula>C2+_xlfn.FORECAST.ETS.CONFINT(A2,$B$2:$B$26,$A$2:$A$26,0.95,12,1)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8E8C-6655-4683-936B-C35F53F00097}">
  <sheetPr>
    <tabColor theme="5"/>
  </sheetPr>
  <dimension ref="A1:AQ41"/>
  <sheetViews>
    <sheetView topLeftCell="L1" workbookViewId="0">
      <selection activeCell="R2" sqref="R2:R13"/>
    </sheetView>
  </sheetViews>
  <sheetFormatPr defaultRowHeight="16.5" x14ac:dyDescent="0.2"/>
  <cols>
    <col min="1" max="1" width="9" style="6" customWidth="1"/>
    <col min="2" max="2" width="10.125" style="6" customWidth="1"/>
    <col min="3" max="3" width="9" style="6" customWidth="1"/>
    <col min="4" max="4" width="11.25" style="6" customWidth="1"/>
    <col min="5" max="6" width="9" style="6" customWidth="1"/>
    <col min="7" max="7" width="14.375" style="6" customWidth="1"/>
    <col min="8" max="8" width="9" style="6" customWidth="1"/>
    <col min="9" max="9" width="10.75" style="6" customWidth="1"/>
    <col min="10" max="10" width="9" style="6" customWidth="1"/>
    <col min="11" max="11" width="11.25" style="6" customWidth="1"/>
    <col min="12" max="15" width="9" style="6" customWidth="1"/>
    <col min="16" max="16" width="10.25" style="6" customWidth="1"/>
    <col min="17" max="17" width="9" style="6" customWidth="1"/>
    <col min="18" max="18" width="10.125" style="6" customWidth="1"/>
    <col min="19" max="19" width="9" style="6" customWidth="1"/>
    <col min="20" max="20" width="11.25" style="6" customWidth="1"/>
    <col min="21" max="24" width="9" style="6" customWidth="1"/>
    <col min="25" max="25" width="14.875" style="6" bestFit="1" customWidth="1"/>
    <col min="26" max="26" width="15.5" style="6" customWidth="1"/>
    <col min="27" max="27" width="9" style="6" customWidth="1"/>
    <col min="28" max="28" width="11" style="6" customWidth="1"/>
    <col min="29" max="29" width="11.25" style="6" customWidth="1"/>
    <col min="30" max="30" width="14.5" style="6" customWidth="1"/>
    <col min="31" max="31" width="9" style="6"/>
    <col min="32" max="32" width="9.375" style="6" bestFit="1" customWidth="1"/>
    <col min="33" max="33" width="16.125" style="6" customWidth="1"/>
    <col min="34" max="34" width="10.625" style="6" bestFit="1" customWidth="1"/>
    <col min="35" max="35" width="11" style="6" customWidth="1"/>
    <col min="36" max="36" width="9" style="6" customWidth="1"/>
    <col min="37" max="37" width="14.5" style="6" bestFit="1" customWidth="1"/>
    <col min="38" max="38" width="11.25" style="6" customWidth="1"/>
    <col min="39" max="39" width="9" style="6" customWidth="1"/>
    <col min="40" max="40" width="19.625" style="6" customWidth="1"/>
    <col min="41" max="41" width="9" style="6"/>
    <col min="42" max="42" width="11.75" style="6" customWidth="1"/>
    <col min="43" max="16384" width="9" style="6"/>
  </cols>
  <sheetData>
    <row r="1" spans="1:43" ht="33" x14ac:dyDescent="0.2">
      <c r="A1" s="6">
        <v>2023</v>
      </c>
      <c r="B1" s="6" t="s">
        <v>99</v>
      </c>
      <c r="C1" s="6" t="s">
        <v>100</v>
      </c>
      <c r="D1" s="6" t="s">
        <v>101</v>
      </c>
      <c r="E1" s="6" t="s">
        <v>102</v>
      </c>
      <c r="F1" s="6" t="s">
        <v>103</v>
      </c>
      <c r="H1" s="6">
        <v>2024</v>
      </c>
      <c r="I1" s="6" t="s">
        <v>99</v>
      </c>
      <c r="J1" s="6" t="s">
        <v>100</v>
      </c>
      <c r="K1" s="6" t="s">
        <v>101</v>
      </c>
      <c r="L1" s="6" t="s">
        <v>102</v>
      </c>
      <c r="M1" s="6" t="s">
        <v>103</v>
      </c>
      <c r="N1" s="6" t="s">
        <v>104</v>
      </c>
      <c r="O1" s="6" t="s">
        <v>105</v>
      </c>
      <c r="Q1" s="6" t="s">
        <v>106</v>
      </c>
      <c r="R1" s="76" t="s">
        <v>99</v>
      </c>
      <c r="S1" s="6" t="s">
        <v>100</v>
      </c>
      <c r="T1" s="6" t="s">
        <v>101</v>
      </c>
      <c r="U1" s="6" t="s">
        <v>102</v>
      </c>
      <c r="V1" s="6" t="s">
        <v>103</v>
      </c>
      <c r="W1" s="6" t="s">
        <v>104</v>
      </c>
      <c r="X1" s="6" t="s">
        <v>105</v>
      </c>
      <c r="Y1" s="206" t="s">
        <v>215</v>
      </c>
      <c r="Z1" s="231" t="s">
        <v>243</v>
      </c>
      <c r="AA1" s="232" t="s">
        <v>99</v>
      </c>
      <c r="AB1" s="232" t="s">
        <v>100</v>
      </c>
      <c r="AC1" s="232" t="s">
        <v>101</v>
      </c>
      <c r="AD1" s="232" t="s">
        <v>102</v>
      </c>
      <c r="AE1" s="233" t="s">
        <v>103</v>
      </c>
      <c r="AF1" s="232" t="s">
        <v>104</v>
      </c>
      <c r="AG1" s="234" t="s">
        <v>107</v>
      </c>
      <c r="AH1" s="206" t="s">
        <v>216</v>
      </c>
      <c r="AI1" s="244">
        <v>2025</v>
      </c>
      <c r="AJ1" s="245" t="s">
        <v>99</v>
      </c>
      <c r="AK1" s="245" t="s">
        <v>100</v>
      </c>
      <c r="AL1" s="245" t="s">
        <v>101</v>
      </c>
      <c r="AM1" s="245" t="s">
        <v>102</v>
      </c>
      <c r="AN1" s="246" t="s">
        <v>116</v>
      </c>
      <c r="AO1" s="245" t="s">
        <v>104</v>
      </c>
      <c r="AP1" s="247" t="s">
        <v>105</v>
      </c>
    </row>
    <row r="2" spans="1:43" x14ac:dyDescent="0.2">
      <c r="A2" s="79" t="s">
        <v>59</v>
      </c>
      <c r="B2" s="70">
        <v>214621809.19999999</v>
      </c>
      <c r="C2" s="70">
        <v>48124680.799999997</v>
      </c>
      <c r="D2" s="71">
        <f>C2*1.12/B2</f>
        <v>0.25113776972112117</v>
      </c>
      <c r="E2" s="71">
        <f>B2/$B$14</f>
        <v>0.11008355372082824</v>
      </c>
      <c r="F2" s="71">
        <f>C2/$C$14</f>
        <v>0.11846535523050994</v>
      </c>
      <c r="H2" s="79" t="s">
        <v>59</v>
      </c>
      <c r="I2" s="70">
        <v>167221455.90000001</v>
      </c>
      <c r="J2" s="70">
        <v>34006763.700000003</v>
      </c>
      <c r="K2" s="71">
        <f>J2*1.12/I2</f>
        <v>0.22776727507250463</v>
      </c>
      <c r="L2" s="71">
        <f>I2/$I$14</f>
        <v>0.12602766101530744</v>
      </c>
      <c r="M2" s="71">
        <f>J2/$J$14</f>
        <v>0.11329781595331709</v>
      </c>
      <c r="N2" s="71">
        <f t="shared" ref="N2:O14" si="0">I2/B2-1</f>
        <v>-0.22085524987737348</v>
      </c>
      <c r="O2" s="71">
        <f t="shared" si="0"/>
        <v>-0.29336126214888048</v>
      </c>
      <c r="Q2" s="79" t="s">
        <v>59</v>
      </c>
      <c r="R2" s="70">
        <v>167221455.90000001</v>
      </c>
      <c r="S2" s="70">
        <v>34006763.700000003</v>
      </c>
      <c r="T2" s="71">
        <f>S2*1.12/R2</f>
        <v>0.22776727507250463</v>
      </c>
      <c r="U2" s="71">
        <f>R2/$R$14</f>
        <v>0.12637178933537083</v>
      </c>
      <c r="V2" s="71">
        <f>S2/$S$14</f>
        <v>0.11364593949933388</v>
      </c>
      <c r="W2" s="71">
        <f t="shared" ref="W2:X14" si="1">R2/B2-1</f>
        <v>-0.22085524987737348</v>
      </c>
      <c r="X2" s="71">
        <f t="shared" si="1"/>
        <v>-0.29336126214888048</v>
      </c>
      <c r="Y2" s="71"/>
      <c r="Z2" s="235" t="s">
        <v>59</v>
      </c>
      <c r="AA2" s="70">
        <f>AB2*1.12/AC2</f>
        <v>106722870.10303907</v>
      </c>
      <c r="AB2" s="70">
        <v>26403676.034183268</v>
      </c>
      <c r="AC2" s="5">
        <v>0.27709259627045169</v>
      </c>
      <c r="AD2" s="236">
        <f>AA2/$AA$14</f>
        <v>0.11479197328276974</v>
      </c>
      <c r="AE2" s="237">
        <v>0.11557370579180432</v>
      </c>
      <c r="AF2" s="236">
        <f>AA2/I2-1</f>
        <v>-0.36178722085244641</v>
      </c>
      <c r="AG2" s="238">
        <f>AB2/S2-1</f>
        <v>-0.22357574901538591</v>
      </c>
      <c r="AH2" s="71"/>
      <c r="AI2" s="235" t="s">
        <v>59</v>
      </c>
      <c r="AJ2" s="70">
        <f>AM2*$AJ$14</f>
        <v>121449243.31295456</v>
      </c>
      <c r="AK2" s="248">
        <v>27381363.198930193</v>
      </c>
      <c r="AL2" s="236">
        <v>0.27709259627045169</v>
      </c>
      <c r="AM2" s="236">
        <v>0.12598267745188771</v>
      </c>
      <c r="AN2" s="237">
        <v>0.11557370579180432</v>
      </c>
      <c r="AO2" s="236">
        <f>AJ2/R2-1</f>
        <v>-0.27372212698840304</v>
      </c>
      <c r="AP2" s="238">
        <f t="shared" ref="AP2:AP13" si="2">AK2/S2-1</f>
        <v>-0.19482596343238068</v>
      </c>
    </row>
    <row r="3" spans="1:43" x14ac:dyDescent="0.2">
      <c r="A3" s="79" t="s">
        <v>60</v>
      </c>
      <c r="B3" s="70">
        <v>152263450.90000001</v>
      </c>
      <c r="C3" s="70">
        <v>30883669.800000001</v>
      </c>
      <c r="D3" s="71">
        <f t="shared" ref="D3:D14" si="3">C3*1.12/B3</f>
        <v>0.22717014471658745</v>
      </c>
      <c r="E3" s="71">
        <f t="shared" ref="E3:E14" si="4">B3/$B$14</f>
        <v>7.8098781476812026E-2</v>
      </c>
      <c r="F3" s="71">
        <f t="shared" ref="F3:F14" si="5">C3/$C$14</f>
        <v>7.602429466251695E-2</v>
      </c>
      <c r="H3" s="79" t="s">
        <v>60</v>
      </c>
      <c r="I3" s="70">
        <v>109303798.40000001</v>
      </c>
      <c r="J3" s="70">
        <v>23684767.800000001</v>
      </c>
      <c r="K3" s="71">
        <f t="shared" ref="K3:K12" si="6">J3*1.12/I3</f>
        <v>0.24269001008477306</v>
      </c>
      <c r="L3" s="71">
        <f t="shared" ref="L3:L14" si="7">I3/$I$14</f>
        <v>8.2377599084404951E-2</v>
      </c>
      <c r="M3" s="71">
        <f t="shared" ref="M3:M14" si="8">J3/$J$14</f>
        <v>7.8908786698260583E-2</v>
      </c>
      <c r="N3" s="71">
        <f t="shared" si="0"/>
        <v>-0.28214027887896764</v>
      </c>
      <c r="O3" s="71">
        <f t="shared" si="0"/>
        <v>-0.23309736331917397</v>
      </c>
      <c r="Q3" s="79" t="s">
        <v>60</v>
      </c>
      <c r="R3" s="70">
        <v>109303798.40000001</v>
      </c>
      <c r="S3" s="70">
        <v>23684767.800000001</v>
      </c>
      <c r="T3" s="71">
        <f t="shared" ref="T3:T12" si="9">S3*1.12/R3</f>
        <v>0.24269001008477306</v>
      </c>
      <c r="U3" s="71">
        <f t="shared" ref="U3:U14" si="10">R3/$R$14</f>
        <v>8.2602537518994545E-2</v>
      </c>
      <c r="V3" s="71">
        <f t="shared" ref="V3:V14" si="11">S3/$S$14</f>
        <v>7.9151245093474487E-2</v>
      </c>
      <c r="W3" s="71">
        <f t="shared" si="1"/>
        <v>-0.28214027887896764</v>
      </c>
      <c r="X3" s="71">
        <f t="shared" si="1"/>
        <v>-0.23309736331917397</v>
      </c>
      <c r="Y3" s="71"/>
      <c r="Z3" s="235" t="s">
        <v>60</v>
      </c>
      <c r="AA3" s="70">
        <f t="shared" ref="AA3:AA12" si="12">AB3*1.12/AC3</f>
        <v>73034628.183694512</v>
      </c>
      <c r="AB3" s="70">
        <v>17651897.056175113</v>
      </c>
      <c r="AC3" s="5">
        <v>0.27069521944016611</v>
      </c>
      <c r="AD3" s="236">
        <f t="shared" ref="AD3:AD14" si="13">AA3/$AA$14</f>
        <v>7.8556630636763047E-2</v>
      </c>
      <c r="AE3" s="237">
        <v>7.790046492109147E-2</v>
      </c>
      <c r="AF3" s="236">
        <f t="shared" ref="AF3:AF12" si="14">AA3/I3-1</f>
        <v>-0.33181985207483411</v>
      </c>
      <c r="AG3" s="238">
        <f t="shared" ref="AG3:AG12" si="15">AB3/S3-1</f>
        <v>-0.25471521590449742</v>
      </c>
      <c r="AH3" s="71"/>
      <c r="AI3" s="235" t="s">
        <v>60</v>
      </c>
      <c r="AJ3" s="70">
        <f t="shared" ref="AJ3:AJ13" si="16">AM3*$AJ$14</f>
        <v>79534596.15806292</v>
      </c>
      <c r="AK3" s="248">
        <v>18305519.421595499</v>
      </c>
      <c r="AL3" s="236">
        <v>0.27069521944016611</v>
      </c>
      <c r="AM3" s="236">
        <v>8.2503448360131459E-2</v>
      </c>
      <c r="AN3" s="237">
        <v>7.790046492109147E-2</v>
      </c>
      <c r="AO3" s="236">
        <f t="shared" ref="AO3:AO14" si="17">AJ3/R3-1</f>
        <v>-0.27235286127016323</v>
      </c>
      <c r="AP3" s="238">
        <f t="shared" si="2"/>
        <v>-0.22711847647518424</v>
      </c>
    </row>
    <row r="4" spans="1:43" x14ac:dyDescent="0.2">
      <c r="A4" s="79" t="s">
        <v>108</v>
      </c>
      <c r="B4" s="70">
        <v>161750679.90000001</v>
      </c>
      <c r="C4" s="70">
        <v>33760030.900000006</v>
      </c>
      <c r="D4" s="71">
        <f t="shared" si="3"/>
        <v>0.2337624462003885</v>
      </c>
      <c r="E4" s="71">
        <f t="shared" si="4"/>
        <v>8.2964959276618316E-2</v>
      </c>
      <c r="F4" s="71">
        <f t="shared" si="5"/>
        <v>8.3104843225505473E-2</v>
      </c>
      <c r="H4" s="79" t="s">
        <v>108</v>
      </c>
      <c r="I4" s="70">
        <v>116199727.90000001</v>
      </c>
      <c r="J4" s="70">
        <v>25054033.5</v>
      </c>
      <c r="K4" s="71">
        <f t="shared" si="6"/>
        <v>0.24148522571540379</v>
      </c>
      <c r="L4" s="71">
        <f t="shared" si="7"/>
        <v>8.7574766282441874E-2</v>
      </c>
      <c r="M4" s="71">
        <f t="shared" si="8"/>
        <v>8.347066781809763E-2</v>
      </c>
      <c r="N4" s="71">
        <f t="shared" si="0"/>
        <v>-0.28161212075375019</v>
      </c>
      <c r="O4" s="71">
        <f t="shared" si="0"/>
        <v>-0.2578788338727499</v>
      </c>
      <c r="Q4" s="79" t="s">
        <v>108</v>
      </c>
      <c r="R4" s="70">
        <v>116199727.90000001</v>
      </c>
      <c r="S4" s="70">
        <v>25054033.5</v>
      </c>
      <c r="T4" s="71">
        <f t="shared" si="9"/>
        <v>0.24148522571540379</v>
      </c>
      <c r="U4" s="71">
        <f t="shared" si="10"/>
        <v>8.7813895985857218E-2</v>
      </c>
      <c r="V4" s="71">
        <f t="shared" si="11"/>
        <v>8.3727143237546126E-2</v>
      </c>
      <c r="W4" s="71">
        <f t="shared" si="1"/>
        <v>-0.28161212075375019</v>
      </c>
      <c r="X4" s="71">
        <f t="shared" si="1"/>
        <v>-0.2578788338727499</v>
      </c>
      <c r="Y4" s="71"/>
      <c r="Z4" s="235" t="s">
        <v>108</v>
      </c>
      <c r="AA4" s="70">
        <f t="shared" si="12"/>
        <v>77033741.75543344</v>
      </c>
      <c r="AB4" s="70">
        <v>18977868.90481418</v>
      </c>
      <c r="AC4" s="5">
        <v>0.27592081974770077</v>
      </c>
      <c r="AD4" s="236">
        <f t="shared" si="13"/>
        <v>8.2858109203059069E-2</v>
      </c>
      <c r="AE4" s="237">
        <v>8.3478223232729853E-2</v>
      </c>
      <c r="AF4" s="236">
        <f t="shared" si="14"/>
        <v>-0.33705746865665909</v>
      </c>
      <c r="AG4" s="238">
        <f t="shared" si="15"/>
        <v>-0.24252241042089373</v>
      </c>
      <c r="AH4" s="71"/>
      <c r="AI4" s="235" t="s">
        <v>108</v>
      </c>
      <c r="AJ4" s="70">
        <f t="shared" si="16"/>
        <v>87237229.983378574</v>
      </c>
      <c r="AK4" s="248">
        <v>19680589.950870998</v>
      </c>
      <c r="AL4" s="236">
        <v>0.27592081974770077</v>
      </c>
      <c r="AM4" s="236">
        <v>9.0493604628492777E-2</v>
      </c>
      <c r="AN4" s="237">
        <v>8.3478223232729853E-2</v>
      </c>
      <c r="AO4" s="236">
        <f t="shared" si="17"/>
        <v>-0.24924755367367279</v>
      </c>
      <c r="AP4" s="238">
        <f t="shared" si="2"/>
        <v>-0.21447419031865678</v>
      </c>
    </row>
    <row r="5" spans="1:43" x14ac:dyDescent="0.2">
      <c r="A5" s="79" t="s">
        <v>62</v>
      </c>
      <c r="B5" s="70">
        <v>184080059.10000002</v>
      </c>
      <c r="C5" s="70">
        <v>34204404.5</v>
      </c>
      <c r="D5" s="71">
        <f t="shared" si="3"/>
        <v>0.20811017351525829</v>
      </c>
      <c r="E5" s="71">
        <f t="shared" si="4"/>
        <v>9.4418116921120857E-2</v>
      </c>
      <c r="F5" s="71">
        <f t="shared" si="5"/>
        <v>8.4198728431681413E-2</v>
      </c>
      <c r="H5" s="79" t="s">
        <v>62</v>
      </c>
      <c r="I5" s="70">
        <v>111571442.5</v>
      </c>
      <c r="J5" s="70">
        <v>24919117.100000001</v>
      </c>
      <c r="K5" s="71">
        <f t="shared" si="6"/>
        <v>0.25014834017226228</v>
      </c>
      <c r="L5" s="71">
        <f t="shared" si="7"/>
        <v>8.4086625479373456E-2</v>
      </c>
      <c r="M5" s="71">
        <f t="shared" si="8"/>
        <v>8.3021176840622338E-2</v>
      </c>
      <c r="N5" s="71">
        <f t="shared" si="0"/>
        <v>-0.39389718231571347</v>
      </c>
      <c r="O5" s="71">
        <f t="shared" si="0"/>
        <v>-0.27146467058065571</v>
      </c>
      <c r="Q5" s="79" t="s">
        <v>62</v>
      </c>
      <c r="R5" s="70">
        <v>111571442.5</v>
      </c>
      <c r="S5" s="70">
        <v>24919117.100000001</v>
      </c>
      <c r="T5" s="71">
        <f t="shared" si="9"/>
        <v>0.25014834017226228</v>
      </c>
      <c r="U5" s="71">
        <f t="shared" si="10"/>
        <v>8.4316230543316523E-2</v>
      </c>
      <c r="V5" s="71">
        <f t="shared" si="11"/>
        <v>8.3276271135539315E-2</v>
      </c>
      <c r="W5" s="71">
        <f t="shared" si="1"/>
        <v>-0.39389718231571347</v>
      </c>
      <c r="X5" s="71">
        <f t="shared" si="1"/>
        <v>-0.27146467058065571</v>
      </c>
      <c r="Y5" s="71"/>
      <c r="Z5" s="235" t="s">
        <v>62</v>
      </c>
      <c r="AA5" s="70">
        <f t="shared" si="12"/>
        <v>74747015.665587693</v>
      </c>
      <c r="AB5" s="70">
        <v>19051014.460733712</v>
      </c>
      <c r="AC5" s="5">
        <v>0.28545803475930648</v>
      </c>
      <c r="AD5" s="236">
        <f t="shared" si="13"/>
        <v>8.0398488318077735E-2</v>
      </c>
      <c r="AE5" s="237">
        <v>8.3645254053996143E-2</v>
      </c>
      <c r="AF5" s="236">
        <f t="shared" si="14"/>
        <v>-0.33005244002659828</v>
      </c>
      <c r="AG5" s="238">
        <f t="shared" si="15"/>
        <v>-0.23548597712020425</v>
      </c>
      <c r="AH5" s="71"/>
      <c r="AI5" s="235" t="s">
        <v>62</v>
      </c>
      <c r="AJ5" s="70">
        <f t="shared" si="16"/>
        <v>76438411.806142613</v>
      </c>
      <c r="AK5" s="248">
        <v>19756443.97325892</v>
      </c>
      <c r="AL5" s="236">
        <v>0.28545803475930648</v>
      </c>
      <c r="AM5" s="236">
        <v>7.929169023056927E-2</v>
      </c>
      <c r="AN5" s="237">
        <v>8.3645254053996143E-2</v>
      </c>
      <c r="AO5" s="236">
        <f t="shared" si="17"/>
        <v>-0.31489268137639603</v>
      </c>
      <c r="AP5" s="238">
        <f t="shared" si="2"/>
        <v>-0.2071772088081355</v>
      </c>
    </row>
    <row r="6" spans="1:43" x14ac:dyDescent="0.2">
      <c r="A6" s="79" t="s">
        <v>63</v>
      </c>
      <c r="B6" s="70">
        <v>152962097.09999999</v>
      </c>
      <c r="C6" s="70">
        <v>31976608.800000001</v>
      </c>
      <c r="D6" s="71">
        <f t="shared" si="3"/>
        <v>0.23413513893305538</v>
      </c>
      <c r="E6" s="71">
        <f t="shared" si="4"/>
        <v>7.8457130224202754E-2</v>
      </c>
      <c r="F6" s="71">
        <f t="shared" si="5"/>
        <v>7.8714710572356683E-2</v>
      </c>
      <c r="H6" s="79" t="s">
        <v>63</v>
      </c>
      <c r="I6" s="70">
        <v>99069605</v>
      </c>
      <c r="J6" s="70">
        <v>22040447</v>
      </c>
      <c r="K6" s="71">
        <f t="shared" si="6"/>
        <v>0.2491712835637126</v>
      </c>
      <c r="L6" s="71">
        <f t="shared" si="7"/>
        <v>7.466452512724718E-2</v>
      </c>
      <c r="M6" s="71">
        <f t="shared" si="8"/>
        <v>7.3430524873345698E-2</v>
      </c>
      <c r="N6" s="71">
        <f t="shared" si="0"/>
        <v>-0.35232579260970398</v>
      </c>
      <c r="O6" s="71">
        <f t="shared" si="0"/>
        <v>-0.31073219371530103</v>
      </c>
      <c r="Q6" s="79" t="s">
        <v>63</v>
      </c>
      <c r="R6" s="70">
        <v>99069605</v>
      </c>
      <c r="S6" s="70">
        <v>22040447</v>
      </c>
      <c r="T6" s="71">
        <f t="shared" si="9"/>
        <v>0.2491712835637126</v>
      </c>
      <c r="U6" s="71">
        <f t="shared" si="10"/>
        <v>7.486840241413302E-2</v>
      </c>
      <c r="V6" s="71">
        <f t="shared" si="11"/>
        <v>7.3656150535144127E-2</v>
      </c>
      <c r="W6" s="71">
        <f t="shared" si="1"/>
        <v>-0.35232579260970398</v>
      </c>
      <c r="X6" s="71">
        <f t="shared" si="1"/>
        <v>-0.31073219371530103</v>
      </c>
      <c r="Y6" s="71"/>
      <c r="Z6" s="235" t="s">
        <v>63</v>
      </c>
      <c r="AA6" s="70">
        <f t="shared" si="12"/>
        <v>75825989.026326716</v>
      </c>
      <c r="AB6" s="70">
        <v>17332852.580114912</v>
      </c>
      <c r="AC6" s="5">
        <v>0.25601769444759365</v>
      </c>
      <c r="AD6" s="236">
        <f t="shared" si="13"/>
        <v>8.1559040700891205E-2</v>
      </c>
      <c r="AE6" s="237">
        <v>7.5679574550029161E-2</v>
      </c>
      <c r="AF6" s="236">
        <f t="shared" si="14"/>
        <v>-0.23461904358731711</v>
      </c>
      <c r="AG6" s="238">
        <f t="shared" si="15"/>
        <v>-0.21358888138181076</v>
      </c>
      <c r="AH6" s="71"/>
      <c r="AI6" s="235" t="s">
        <v>63</v>
      </c>
      <c r="AJ6" s="70">
        <f t="shared" si="16"/>
        <v>75827611.784346774</v>
      </c>
      <c r="AK6" s="248">
        <v>17974661.223505698</v>
      </c>
      <c r="AL6" s="236">
        <v>0.25601769444759365</v>
      </c>
      <c r="AM6" s="236">
        <v>7.8658090382316428E-2</v>
      </c>
      <c r="AN6" s="237">
        <v>7.5679574550029161E-2</v>
      </c>
      <c r="AO6" s="236">
        <f t="shared" si="17"/>
        <v>-0.23460266360861359</v>
      </c>
      <c r="AP6" s="238">
        <f t="shared" si="2"/>
        <v>-0.18446929758249919</v>
      </c>
    </row>
    <row r="7" spans="1:43" x14ac:dyDescent="0.2">
      <c r="A7" s="79" t="s">
        <v>64</v>
      </c>
      <c r="B7" s="70">
        <v>145233340.40000001</v>
      </c>
      <c r="C7" s="70">
        <v>31037673.800000001</v>
      </c>
      <c r="D7" s="71">
        <f t="shared" si="3"/>
        <v>0.23935409431648658</v>
      </c>
      <c r="E7" s="71">
        <f t="shared" si="4"/>
        <v>7.4492905868108472E-2</v>
      </c>
      <c r="F7" s="71">
        <f t="shared" si="5"/>
        <v>7.6403396160202516E-2</v>
      </c>
      <c r="H7" s="79" t="s">
        <v>64</v>
      </c>
      <c r="I7" s="70">
        <v>99516459.5</v>
      </c>
      <c r="J7" s="70">
        <v>22879455.5</v>
      </c>
      <c r="K7" s="71">
        <f t="shared" si="6"/>
        <v>0.25749499418234434</v>
      </c>
      <c r="L7" s="71">
        <f t="shared" si="7"/>
        <v>7.5001300256647085E-2</v>
      </c>
      <c r="M7" s="71">
        <f t="shared" si="8"/>
        <v>7.6225787352740895E-2</v>
      </c>
      <c r="N7" s="71">
        <f t="shared" si="0"/>
        <v>-0.31478227226673361</v>
      </c>
      <c r="O7" s="71">
        <f t="shared" si="0"/>
        <v>-0.26284889623396968</v>
      </c>
      <c r="Q7" s="79" t="s">
        <v>64</v>
      </c>
      <c r="R7" s="70">
        <v>99516459.5</v>
      </c>
      <c r="S7" s="70">
        <v>22879455.5</v>
      </c>
      <c r="T7" s="71">
        <f t="shared" si="9"/>
        <v>0.25749499418234434</v>
      </c>
      <c r="U7" s="71">
        <f t="shared" si="10"/>
        <v>7.5206097134189354E-2</v>
      </c>
      <c r="V7" s="71">
        <f t="shared" si="11"/>
        <v>7.6460001853416643E-2</v>
      </c>
      <c r="W7" s="71">
        <f t="shared" si="1"/>
        <v>-0.31478227226673361</v>
      </c>
      <c r="X7" s="71">
        <f t="shared" si="1"/>
        <v>-0.26284889623396968</v>
      </c>
      <c r="Y7" s="71"/>
      <c r="Z7" s="235" t="s">
        <v>64</v>
      </c>
      <c r="AA7" s="70">
        <f t="shared" si="12"/>
        <v>71544978.142757744</v>
      </c>
      <c r="AB7" s="70">
        <v>17388880.809672479</v>
      </c>
      <c r="AC7" s="5">
        <v>0.27221402553191809</v>
      </c>
      <c r="AD7" s="236">
        <f t="shared" si="13"/>
        <v>7.6954351129710885E-2</v>
      </c>
      <c r="AE7" s="237">
        <v>7.6437359576130987E-2</v>
      </c>
      <c r="AF7" s="236">
        <f t="shared" si="14"/>
        <v>-0.28107391980963969</v>
      </c>
      <c r="AG7" s="238">
        <f t="shared" si="15"/>
        <v>-0.23997838105576952</v>
      </c>
      <c r="AH7" s="71"/>
      <c r="AI7" s="235" t="s">
        <v>64</v>
      </c>
      <c r="AJ7" s="70">
        <f t="shared" si="16"/>
        <v>71670920.061955571</v>
      </c>
      <c r="AK7" s="248">
        <v>18032764.091489784</v>
      </c>
      <c r="AL7" s="236">
        <v>0.27221402553191809</v>
      </c>
      <c r="AM7" s="236">
        <v>7.4346238465878151E-2</v>
      </c>
      <c r="AN7" s="237">
        <v>7.6437359576130987E-2</v>
      </c>
      <c r="AO7" s="236">
        <f t="shared" si="17"/>
        <v>-0.27980838122606677</v>
      </c>
      <c r="AP7" s="238">
        <f t="shared" si="2"/>
        <v>-0.21183595949257694</v>
      </c>
    </row>
    <row r="8" spans="1:43" x14ac:dyDescent="0.2">
      <c r="A8" s="79" t="s">
        <v>65</v>
      </c>
      <c r="B8" s="70">
        <v>132550321.09999999</v>
      </c>
      <c r="C8" s="70">
        <v>28669117.300000001</v>
      </c>
      <c r="D8" s="71">
        <f t="shared" si="3"/>
        <v>0.24224318062402644</v>
      </c>
      <c r="E8" s="71">
        <f t="shared" si="4"/>
        <v>6.7987547248413022E-2</v>
      </c>
      <c r="F8" s="71">
        <f t="shared" si="5"/>
        <v>7.0572876715883762E-2</v>
      </c>
      <c r="H8" s="79" t="s">
        <v>65</v>
      </c>
      <c r="I8" s="70">
        <v>96727682.599999994</v>
      </c>
      <c r="J8" s="70">
        <v>21936037.300000001</v>
      </c>
      <c r="K8" s="71">
        <f t="shared" si="6"/>
        <v>0.25399514508786553</v>
      </c>
      <c r="L8" s="71">
        <f t="shared" si="7"/>
        <v>7.2899518353667495E-2</v>
      </c>
      <c r="M8" s="71">
        <f t="shared" si="8"/>
        <v>7.3082670808822026E-2</v>
      </c>
      <c r="N8" s="71">
        <f t="shared" si="0"/>
        <v>-0.27025689717472889</v>
      </c>
      <c r="O8" s="71">
        <f t="shared" si="0"/>
        <v>-0.23485480663891944</v>
      </c>
      <c r="Q8" s="79" t="s">
        <v>65</v>
      </c>
      <c r="R8" s="70">
        <v>96727682.599999994</v>
      </c>
      <c r="S8" s="70">
        <v>21936037.300000001</v>
      </c>
      <c r="T8" s="71">
        <f t="shared" si="9"/>
        <v>0.25399514508786553</v>
      </c>
      <c r="U8" s="71">
        <f t="shared" si="10"/>
        <v>7.3098576152426695E-2</v>
      </c>
      <c r="V8" s="71">
        <f t="shared" si="11"/>
        <v>7.330722763986304E-2</v>
      </c>
      <c r="W8" s="71">
        <f t="shared" si="1"/>
        <v>-0.27025689717472889</v>
      </c>
      <c r="X8" s="71">
        <f t="shared" si="1"/>
        <v>-0.23485480663891944</v>
      </c>
      <c r="Y8" s="71"/>
      <c r="Z8" s="235" t="s">
        <v>65</v>
      </c>
      <c r="AA8" s="70">
        <f t="shared" si="12"/>
        <v>68837413.866956353</v>
      </c>
      <c r="AB8" s="70">
        <v>16366991.824311106</v>
      </c>
      <c r="AC8" s="5">
        <v>0.26629458914097565</v>
      </c>
      <c r="AD8" s="236">
        <f t="shared" si="13"/>
        <v>7.4042073323565896E-2</v>
      </c>
      <c r="AE8" s="237">
        <v>7.2213487270271326E-2</v>
      </c>
      <c r="AF8" s="236">
        <f t="shared" si="14"/>
        <v>-0.28833802261529262</v>
      </c>
      <c r="AG8" s="238">
        <f t="shared" si="15"/>
        <v>-0.25387655024131883</v>
      </c>
      <c r="AH8" s="71"/>
      <c r="AI8" s="235" t="s">
        <v>65</v>
      </c>
      <c r="AJ8" s="70">
        <f t="shared" si="16"/>
        <v>69915671.267789528</v>
      </c>
      <c r="AK8" s="248">
        <v>16973036.142209504</v>
      </c>
      <c r="AL8" s="236">
        <v>0.26629458914097565</v>
      </c>
      <c r="AM8" s="236">
        <v>7.2525470080245485E-2</v>
      </c>
      <c r="AN8" s="237">
        <v>7.2213487270271326E-2</v>
      </c>
      <c r="AO8" s="236">
        <f t="shared" si="17"/>
        <v>-0.27719067191019908</v>
      </c>
      <c r="AP8" s="238">
        <f t="shared" si="2"/>
        <v>-0.22624875632348129</v>
      </c>
    </row>
    <row r="9" spans="1:43" x14ac:dyDescent="0.2">
      <c r="A9" s="79" t="s">
        <v>66</v>
      </c>
      <c r="B9" s="70">
        <v>138217074.69999999</v>
      </c>
      <c r="C9" s="70">
        <v>30480858.199999999</v>
      </c>
      <c r="D9" s="71">
        <f t="shared" si="3"/>
        <v>0.2469923579130705</v>
      </c>
      <c r="E9" s="71">
        <f t="shared" si="4"/>
        <v>7.0894131517148629E-2</v>
      </c>
      <c r="F9" s="71">
        <f t="shared" si="5"/>
        <v>7.5032719892737493E-2</v>
      </c>
      <c r="H9" s="79" t="s">
        <v>66</v>
      </c>
      <c r="I9" s="70">
        <v>93524293.700000003</v>
      </c>
      <c r="J9" s="70">
        <v>21669838.899999999</v>
      </c>
      <c r="K9" s="71">
        <f t="shared" si="6"/>
        <v>0.25950711422480383</v>
      </c>
      <c r="L9" s="71">
        <f t="shared" si="7"/>
        <v>7.048526111486661E-2</v>
      </c>
      <c r="M9" s="71">
        <f t="shared" si="8"/>
        <v>7.219579731517442E-2</v>
      </c>
      <c r="N9" s="71">
        <f t="shared" si="0"/>
        <v>-0.32335209739466431</v>
      </c>
      <c r="O9" s="71">
        <f t="shared" si="0"/>
        <v>-0.28906729732432535</v>
      </c>
      <c r="Q9" s="79" t="s">
        <v>66</v>
      </c>
      <c r="R9" s="70">
        <v>93524293.700000003</v>
      </c>
      <c r="S9" s="70">
        <v>21669838.899999999</v>
      </c>
      <c r="T9" s="71">
        <f t="shared" si="9"/>
        <v>0.25950711422480383</v>
      </c>
      <c r="U9" s="71">
        <f t="shared" si="10"/>
        <v>7.0677726596660662E-2</v>
      </c>
      <c r="V9" s="71">
        <f t="shared" si="11"/>
        <v>7.2417629102110401E-2</v>
      </c>
      <c r="W9" s="71">
        <f t="shared" si="1"/>
        <v>-0.32335209739466431</v>
      </c>
      <c r="X9" s="71">
        <f t="shared" si="1"/>
        <v>-0.28906729732432535</v>
      </c>
      <c r="Y9" s="71"/>
      <c r="Z9" s="235" t="s">
        <v>66</v>
      </c>
      <c r="AA9" s="70">
        <f t="shared" si="12"/>
        <v>70401538.710117325</v>
      </c>
      <c r="AB9" s="70">
        <v>16773122.783699891</v>
      </c>
      <c r="AC9" s="5">
        <v>0.26683930297455527</v>
      </c>
      <c r="AD9" s="236">
        <f t="shared" si="13"/>
        <v>7.5724458523979826E-2</v>
      </c>
      <c r="AE9" s="237">
        <v>7.3463665418361232E-2</v>
      </c>
      <c r="AF9" s="236">
        <f t="shared" si="14"/>
        <v>-0.24723795363859213</v>
      </c>
      <c r="AG9" s="238">
        <f t="shared" si="15"/>
        <v>-0.22596919796667747</v>
      </c>
      <c r="AH9" s="71"/>
      <c r="AI9" s="235" t="s">
        <v>66</v>
      </c>
      <c r="AJ9" s="70">
        <f t="shared" si="16"/>
        <v>71215316.614165053</v>
      </c>
      <c r="AK9" s="248">
        <v>17394205.501012322</v>
      </c>
      <c r="AL9" s="236">
        <v>0.26683930297455527</v>
      </c>
      <c r="AM9" s="236">
        <v>7.3873628339678712E-2</v>
      </c>
      <c r="AN9" s="237">
        <v>7.3463665418361232E-2</v>
      </c>
      <c r="AO9" s="236">
        <f t="shared" si="17"/>
        <v>-0.23853670745053646</v>
      </c>
      <c r="AP9" s="238">
        <f t="shared" si="2"/>
        <v>-0.19730803808549202</v>
      </c>
    </row>
    <row r="10" spans="1:43" x14ac:dyDescent="0.2">
      <c r="A10" s="79" t="s">
        <v>67</v>
      </c>
      <c r="B10" s="70">
        <v>154631906.09999999</v>
      </c>
      <c r="C10" s="70">
        <v>30993082.5</v>
      </c>
      <c r="D10" s="71">
        <f t="shared" si="3"/>
        <v>0.22448311784730698</v>
      </c>
      <c r="E10" s="71">
        <f t="shared" si="4"/>
        <v>7.9313606597411074E-2</v>
      </c>
      <c r="F10" s="71">
        <f t="shared" si="5"/>
        <v>7.6293628695631818E-2</v>
      </c>
      <c r="H10" s="79" t="s">
        <v>67</v>
      </c>
      <c r="I10" s="70">
        <v>96919380.599999994</v>
      </c>
      <c r="J10" s="70">
        <v>22210990.5</v>
      </c>
      <c r="K10" s="71">
        <f t="shared" si="6"/>
        <v>0.25667012320959887</v>
      </c>
      <c r="L10" s="71">
        <f t="shared" si="7"/>
        <v>7.3043992939367544E-2</v>
      </c>
      <c r="M10" s="71">
        <f t="shared" si="8"/>
        <v>7.3998712021216953E-2</v>
      </c>
      <c r="N10" s="71">
        <f t="shared" si="0"/>
        <v>-0.37322520917951751</v>
      </c>
      <c r="O10" s="71">
        <f t="shared" si="0"/>
        <v>-0.28335651995892952</v>
      </c>
      <c r="Q10" s="79" t="s">
        <v>67</v>
      </c>
      <c r="R10" s="70">
        <v>96919380.599999994</v>
      </c>
      <c r="S10" s="70">
        <v>22210990.5</v>
      </c>
      <c r="T10" s="71">
        <f t="shared" si="9"/>
        <v>0.25667012320959887</v>
      </c>
      <c r="U10" s="71">
        <f t="shared" si="10"/>
        <v>7.3243445237207883E-2</v>
      </c>
      <c r="V10" s="71">
        <f t="shared" si="11"/>
        <v>7.422608351829961E-2</v>
      </c>
      <c r="W10" s="71">
        <f t="shared" si="1"/>
        <v>-0.37322520917951751</v>
      </c>
      <c r="X10" s="71">
        <f t="shared" si="1"/>
        <v>-0.28335651995892952</v>
      </c>
      <c r="Y10" s="71"/>
      <c r="Z10" s="235" t="s">
        <v>67</v>
      </c>
      <c r="AA10" s="70">
        <f t="shared" si="12"/>
        <v>68489875.980403781</v>
      </c>
      <c r="AB10" s="70">
        <v>17122276.28854008</v>
      </c>
      <c r="AC10" s="5">
        <v>0.27999684871165154</v>
      </c>
      <c r="AD10" s="236">
        <f t="shared" si="13"/>
        <v>7.3668258791128982E-2</v>
      </c>
      <c r="AE10" s="237">
        <v>7.5053101589232493E-2</v>
      </c>
      <c r="AF10" s="236">
        <f t="shared" si="14"/>
        <v>-0.29333147244232605</v>
      </c>
      <c r="AG10" s="238">
        <f t="shared" si="15"/>
        <v>-0.22910793696750809</v>
      </c>
      <c r="AH10" s="71"/>
      <c r="AI10" s="235" t="s">
        <v>67</v>
      </c>
      <c r="AJ10" s="70">
        <f t="shared" si="16"/>
        <v>69054266.344159886</v>
      </c>
      <c r="AK10" s="248">
        <v>17756287.618511092</v>
      </c>
      <c r="AL10" s="236">
        <v>0.27999684871165154</v>
      </c>
      <c r="AM10" s="236">
        <v>7.1631910798287207E-2</v>
      </c>
      <c r="AN10" s="237">
        <v>7.5053101589232493E-2</v>
      </c>
      <c r="AO10" s="236">
        <f t="shared" si="17"/>
        <v>-0.28750817517956884</v>
      </c>
      <c r="AP10" s="238">
        <f t="shared" si="2"/>
        <v>-0.2005629997225431</v>
      </c>
    </row>
    <row r="11" spans="1:43" x14ac:dyDescent="0.2">
      <c r="A11" s="79" t="s">
        <v>68</v>
      </c>
      <c r="B11" s="70">
        <v>142148505.40000001</v>
      </c>
      <c r="C11" s="70">
        <v>30396484.100000001</v>
      </c>
      <c r="D11" s="71">
        <f t="shared" si="3"/>
        <v>0.23949644842343873</v>
      </c>
      <c r="E11" s="71">
        <f t="shared" si="4"/>
        <v>7.2910636103874327E-2</v>
      </c>
      <c r="F11" s="71">
        <f t="shared" si="5"/>
        <v>7.4825021731158112E-2</v>
      </c>
      <c r="H11" s="79" t="s">
        <v>68</v>
      </c>
      <c r="I11" s="70">
        <v>106250450</v>
      </c>
      <c r="J11" s="70">
        <v>23889521</v>
      </c>
      <c r="K11" s="71">
        <f t="shared" si="6"/>
        <v>0.25182259011608893</v>
      </c>
      <c r="L11" s="71">
        <f t="shared" si="7"/>
        <v>8.007642095480566E-2</v>
      </c>
      <c r="M11" s="71">
        <f t="shared" si="8"/>
        <v>7.9590947769925646E-2</v>
      </c>
      <c r="N11" s="71">
        <f t="shared" si="0"/>
        <v>-0.25253909845189271</v>
      </c>
      <c r="O11" s="71">
        <f t="shared" si="0"/>
        <v>-0.21406959695052363</v>
      </c>
      <c r="Q11" s="79" t="s">
        <v>68</v>
      </c>
      <c r="R11" s="70">
        <v>106250450</v>
      </c>
      <c r="S11" s="70">
        <v>23889521</v>
      </c>
      <c r="T11" s="71">
        <f t="shared" si="9"/>
        <v>0.25182259011608893</v>
      </c>
      <c r="U11" s="71">
        <f t="shared" si="10"/>
        <v>8.0295075843723404E-2</v>
      </c>
      <c r="V11" s="71">
        <f t="shared" si="11"/>
        <v>7.9835502201406658E-2</v>
      </c>
      <c r="W11" s="71">
        <f t="shared" si="1"/>
        <v>-0.25253909845189271</v>
      </c>
      <c r="X11" s="71">
        <f t="shared" si="1"/>
        <v>-0.21406959695052363</v>
      </c>
      <c r="Y11" s="71"/>
      <c r="Z11" s="235" t="s">
        <v>68</v>
      </c>
      <c r="AA11" s="70">
        <f t="shared" si="12"/>
        <v>73382319.25414665</v>
      </c>
      <c r="AB11" s="70">
        <v>17593311.751353718</v>
      </c>
      <c r="AC11" s="5">
        <v>0.26851848458581817</v>
      </c>
      <c r="AD11" s="236">
        <f t="shared" si="13"/>
        <v>7.8930609935028415E-2</v>
      </c>
      <c r="AE11" s="237">
        <v>7.7831310013307231E-2</v>
      </c>
      <c r="AF11" s="236">
        <f t="shared" si="14"/>
        <v>-0.30934580273169054</v>
      </c>
      <c r="AG11" s="238">
        <f t="shared" si="15"/>
        <v>-0.26355527382262212</v>
      </c>
      <c r="AH11" s="71"/>
      <c r="AI11" s="235" t="s">
        <v>68</v>
      </c>
      <c r="AJ11" s="70">
        <f t="shared" si="16"/>
        <v>74258174.566705644</v>
      </c>
      <c r="AK11" s="248">
        <v>18244764.793817237</v>
      </c>
      <c r="AL11" s="236">
        <v>0.26851848458581817</v>
      </c>
      <c r="AM11" s="236">
        <v>7.7030069512218663E-2</v>
      </c>
      <c r="AN11" s="237">
        <v>7.7831310013307231E-2</v>
      </c>
      <c r="AO11" s="236">
        <f t="shared" si="17"/>
        <v>-0.30110249352632723</v>
      </c>
      <c r="AP11" s="238">
        <f t="shared" si="2"/>
        <v>-0.23628586802484497</v>
      </c>
    </row>
    <row r="12" spans="1:43" x14ac:dyDescent="0.2">
      <c r="A12" s="79" t="s">
        <v>69</v>
      </c>
      <c r="B12" s="70">
        <v>191862720.5</v>
      </c>
      <c r="C12" s="70">
        <v>38054013.600000001</v>
      </c>
      <c r="D12" s="71">
        <f t="shared" si="3"/>
        <v>0.22214057593330128</v>
      </c>
      <c r="E12" s="71">
        <f t="shared" si="4"/>
        <v>9.8409990009468276E-2</v>
      </c>
      <c r="F12" s="71">
        <f t="shared" si="5"/>
        <v>9.36750574576415E-2</v>
      </c>
      <c r="H12" s="79" t="s">
        <v>69</v>
      </c>
      <c r="I12" s="70">
        <v>117875870</v>
      </c>
      <c r="J12" s="70">
        <v>29188984</v>
      </c>
      <c r="K12" s="71">
        <f t="shared" si="6"/>
        <v>0.27733973102383042</v>
      </c>
      <c r="L12" s="71">
        <f t="shared" si="7"/>
        <v>8.8838002912307173E-2</v>
      </c>
      <c r="M12" s="71">
        <f t="shared" si="8"/>
        <v>9.7246776149308115E-2</v>
      </c>
      <c r="N12" s="71">
        <f t="shared" si="0"/>
        <v>-0.38562389977160783</v>
      </c>
      <c r="O12" s="71">
        <f t="shared" si="0"/>
        <v>-0.23295912208324854</v>
      </c>
      <c r="Q12" s="79" t="s">
        <v>69</v>
      </c>
      <c r="R12" s="70">
        <v>117875870</v>
      </c>
      <c r="S12" s="70">
        <v>29188984</v>
      </c>
      <c r="T12" s="71">
        <f t="shared" si="9"/>
        <v>0.27733973102383042</v>
      </c>
      <c r="U12" s="71">
        <f t="shared" si="10"/>
        <v>8.9080581981486953E-2</v>
      </c>
      <c r="V12" s="71">
        <f t="shared" si="11"/>
        <v>9.754558060786668E-2</v>
      </c>
      <c r="W12" s="71">
        <f t="shared" si="1"/>
        <v>-0.38562389977160783</v>
      </c>
      <c r="X12" s="71">
        <f t="shared" si="1"/>
        <v>-0.23295912208324854</v>
      </c>
      <c r="Y12" s="71"/>
      <c r="Z12" s="235" t="s">
        <v>69</v>
      </c>
      <c r="AA12" s="70">
        <f t="shared" si="12"/>
        <v>84302978.917705372</v>
      </c>
      <c r="AB12" s="70">
        <v>22076337.26787984</v>
      </c>
      <c r="AC12" s="5">
        <v>0.29329328639930846</v>
      </c>
      <c r="AD12" s="236">
        <f t="shared" si="13"/>
        <v>9.067695887709791E-2</v>
      </c>
      <c r="AE12" s="237">
        <v>9.5997371347776611E-2</v>
      </c>
      <c r="AF12" s="236">
        <f t="shared" si="14"/>
        <v>-0.28481563768983953</v>
      </c>
      <c r="AG12" s="238">
        <f t="shared" si="15"/>
        <v>-0.24367572136529858</v>
      </c>
      <c r="AH12" s="71"/>
      <c r="AI12" s="235" t="s">
        <v>69</v>
      </c>
      <c r="AJ12" s="70">
        <f t="shared" si="16"/>
        <v>84972736.018018901</v>
      </c>
      <c r="AK12" s="248">
        <v>22893789.790910617</v>
      </c>
      <c r="AL12" s="236">
        <v>0.29329328639930846</v>
      </c>
      <c r="AM12" s="236">
        <v>8.8144582065260199E-2</v>
      </c>
      <c r="AN12" s="237">
        <v>9.5997371347776611E-2</v>
      </c>
      <c r="AO12" s="236">
        <f t="shared" si="17"/>
        <v>-0.27913375300628618</v>
      </c>
      <c r="AP12" s="238">
        <f t="shared" si="2"/>
        <v>-0.21567020657825509</v>
      </c>
    </row>
    <row r="13" spans="1:43" x14ac:dyDescent="0.2">
      <c r="A13" s="79" t="s">
        <v>86</v>
      </c>
      <c r="B13" s="70">
        <v>179304496.10000002</v>
      </c>
      <c r="C13" s="70">
        <v>37653592.5</v>
      </c>
      <c r="D13" s="71">
        <f t="shared" si="3"/>
        <v>0.23519780327471662</v>
      </c>
      <c r="E13" s="71">
        <f t="shared" si="4"/>
        <v>9.1968641035993989E-2</v>
      </c>
      <c r="F13" s="71">
        <f t="shared" si="5"/>
        <v>9.2689367224174188E-2</v>
      </c>
      <c r="G13" s="6" t="s">
        <v>109</v>
      </c>
      <c r="H13" s="229" t="s">
        <v>86</v>
      </c>
      <c r="I13" s="230">
        <f>J13*1.12/K13</f>
        <v>112682957.06539077</v>
      </c>
      <c r="J13" s="230">
        <v>28673788.18181818</v>
      </c>
      <c r="K13" s="71">
        <v>0.28499999999999998</v>
      </c>
      <c r="L13" s="71">
        <f t="shared" si="7"/>
        <v>8.492432647956337E-2</v>
      </c>
      <c r="M13" s="71">
        <f t="shared" si="8"/>
        <v>9.5530336399168567E-2</v>
      </c>
      <c r="N13" s="71">
        <f t="shared" si="0"/>
        <v>-0.37155531781787399</v>
      </c>
      <c r="O13" s="71">
        <f t="shared" si="0"/>
        <v>-0.23848466300212445</v>
      </c>
      <c r="P13" s="6" t="s">
        <v>110</v>
      </c>
      <c r="Q13" s="276" t="s">
        <v>86</v>
      </c>
      <c r="R13" s="277">
        <f>S13*1.12/T13</f>
        <v>109069720.44090025</v>
      </c>
      <c r="S13" s="80">
        <v>27754348.505050506</v>
      </c>
      <c r="T13" s="71">
        <v>0.28499999999999998</v>
      </c>
      <c r="U13" s="71">
        <f t="shared" si="10"/>
        <v>8.2425641256632751E-2</v>
      </c>
      <c r="V13" s="71">
        <f t="shared" si="11"/>
        <v>9.2751225575999088E-2</v>
      </c>
      <c r="W13" s="71">
        <f t="shared" si="1"/>
        <v>-0.39170671782780664</v>
      </c>
      <c r="X13" s="71">
        <f t="shared" si="1"/>
        <v>-0.26290304158758537</v>
      </c>
      <c r="Y13" s="71"/>
      <c r="Z13" s="250" t="s">
        <v>86</v>
      </c>
      <c r="AA13" s="70">
        <f>AB13*1.12/AC13</f>
        <v>85383380.324731022</v>
      </c>
      <c r="AB13" s="70">
        <v>21793176.191848148</v>
      </c>
      <c r="AC13" s="5">
        <v>0.28586777944419384</v>
      </c>
      <c r="AD13" s="236">
        <f t="shared" si="13"/>
        <v>9.183904727792723E-2</v>
      </c>
      <c r="AE13" s="237">
        <v>9.2726482235269136E-2</v>
      </c>
      <c r="AF13" s="236">
        <f>AA13/I13-1</f>
        <v>-0.24226890606729101</v>
      </c>
      <c r="AG13" s="238">
        <f>AB13/S13-1</f>
        <v>-0.21478336312299295</v>
      </c>
      <c r="AH13" s="71"/>
      <c r="AI13" s="250" t="s">
        <v>86</v>
      </c>
      <c r="AJ13" s="70">
        <f t="shared" si="16"/>
        <v>82441238.879089907</v>
      </c>
      <c r="AK13" s="248">
        <v>22600143.699488122</v>
      </c>
      <c r="AL13" s="236">
        <v>0.28586777944419384</v>
      </c>
      <c r="AM13" s="236">
        <v>8.5518589685033897E-2</v>
      </c>
      <c r="AN13" s="237">
        <v>9.2726482235269136E-2</v>
      </c>
      <c r="AO13" s="236">
        <f t="shared" si="17"/>
        <v>-0.24414183381206211</v>
      </c>
      <c r="AP13" s="238">
        <f t="shared" si="2"/>
        <v>-0.18570800912961316</v>
      </c>
    </row>
    <row r="14" spans="1:43" x14ac:dyDescent="0.2">
      <c r="A14" s="81" t="s">
        <v>111</v>
      </c>
      <c r="B14" s="82">
        <f>SUM(B2:B13)</f>
        <v>1949626460.5</v>
      </c>
      <c r="C14" s="82">
        <f>SUM(C2:C13)</f>
        <v>406234216.80000007</v>
      </c>
      <c r="D14" s="83">
        <f t="shared" si="3"/>
        <v>0.23336897197184922</v>
      </c>
      <c r="E14" s="83">
        <f t="shared" si="4"/>
        <v>1</v>
      </c>
      <c r="F14" s="83">
        <f t="shared" si="5"/>
        <v>1</v>
      </c>
      <c r="H14" s="81" t="s">
        <v>111</v>
      </c>
      <c r="I14" s="82">
        <f>SUM(I2:I13)</f>
        <v>1326863123.165391</v>
      </c>
      <c r="J14" s="82">
        <f>SUM(J2:J13)</f>
        <v>300153744.4818182</v>
      </c>
      <c r="K14" s="83">
        <f>J14*1.12/I14</f>
        <v>0.25335860794567666</v>
      </c>
      <c r="L14" s="83">
        <f t="shared" si="7"/>
        <v>1</v>
      </c>
      <c r="M14" s="83">
        <f t="shared" si="8"/>
        <v>1</v>
      </c>
      <c r="N14" s="83">
        <f t="shared" si="0"/>
        <v>-0.31942700304492966</v>
      </c>
      <c r="O14" s="83">
        <f t="shared" si="0"/>
        <v>-0.26113130782975902</v>
      </c>
      <c r="Q14" s="81" t="s">
        <v>111</v>
      </c>
      <c r="R14" s="82">
        <f>SUM(R2:R13)</f>
        <v>1323249886.5409005</v>
      </c>
      <c r="S14" s="82">
        <f>SUM(S2:S13)</f>
        <v>299234304.80505049</v>
      </c>
      <c r="T14" s="83">
        <f>S14*1.12/R14</f>
        <v>0.25327220866630895</v>
      </c>
      <c r="U14" s="83">
        <f t="shared" si="10"/>
        <v>1</v>
      </c>
      <c r="V14" s="83">
        <f t="shared" si="11"/>
        <v>1</v>
      </c>
      <c r="W14" s="83">
        <f t="shared" si="1"/>
        <v>-0.3212802999188159</v>
      </c>
      <c r="X14" s="83">
        <f t="shared" si="1"/>
        <v>-0.26339463188948575</v>
      </c>
      <c r="Y14" s="71"/>
      <c r="Z14" s="251" t="s">
        <v>111</v>
      </c>
      <c r="AA14" s="252">
        <f>SUM(AA2:AA13)</f>
        <v>929706729.93089974</v>
      </c>
      <c r="AB14" s="252">
        <f>AB15*AE15</f>
        <v>228531405.95332646</v>
      </c>
      <c r="AC14" s="253">
        <f>AB14*1.12/AA14</f>
        <v>0.2753074345140531</v>
      </c>
      <c r="AD14" s="253">
        <f t="shared" si="13"/>
        <v>1</v>
      </c>
      <c r="AE14" s="253">
        <f t="shared" ref="AE14" si="18">AB14/$AB$14</f>
        <v>1</v>
      </c>
      <c r="AF14" s="253">
        <f>AA14/I14-1</f>
        <v>-0.29931979139417719</v>
      </c>
      <c r="AG14" s="254">
        <f>AB14/S14-1</f>
        <v>-0.23627938948305605</v>
      </c>
      <c r="AH14" s="71"/>
      <c r="AI14" s="251" t="s">
        <v>111</v>
      </c>
      <c r="AJ14" s="252">
        <f>AK14*1.12/AL14</f>
        <v>964015416.79676998</v>
      </c>
      <c r="AK14" s="252">
        <f>S14*(1-0.208)</f>
        <v>236993569.40560001</v>
      </c>
      <c r="AL14" s="253">
        <v>0.27534082246967795</v>
      </c>
      <c r="AM14" s="253">
        <v>1</v>
      </c>
      <c r="AN14" s="253">
        <v>1</v>
      </c>
      <c r="AO14" s="253">
        <f t="shared" si="17"/>
        <v>-0.27147893485424979</v>
      </c>
      <c r="AP14" s="255">
        <f>AK14/S14-1</f>
        <v>-0.20799999999999996</v>
      </c>
    </row>
    <row r="15" spans="1:43" x14ac:dyDescent="0.2">
      <c r="Q15" s="6" t="s">
        <v>271</v>
      </c>
      <c r="Z15" s="239" t="s">
        <v>112</v>
      </c>
      <c r="AA15" s="240"/>
      <c r="AB15" s="241">
        <v>244973459.66756138</v>
      </c>
      <c r="AC15" s="240"/>
      <c r="AD15" s="240"/>
      <c r="AE15" s="242">
        <v>0.93288230595858246</v>
      </c>
      <c r="AF15" s="240"/>
      <c r="AG15" s="243"/>
      <c r="AI15" s="239" t="s">
        <v>113</v>
      </c>
      <c r="AJ15" s="240"/>
      <c r="AK15" s="241">
        <v>254044446.86307719</v>
      </c>
      <c r="AL15" s="240"/>
      <c r="AM15" s="240"/>
      <c r="AN15" s="242">
        <f>AK14/AK15</f>
        <v>0.93288230595858246</v>
      </c>
      <c r="AO15" s="240"/>
      <c r="AP15" s="249" t="s">
        <v>114</v>
      </c>
      <c r="AQ15" s="71">
        <f>AK15/AB15-1</f>
        <v>3.7028448746347919E-2</v>
      </c>
    </row>
    <row r="16" spans="1:43" x14ac:dyDescent="0.2">
      <c r="A16" s="86" t="s">
        <v>117</v>
      </c>
      <c r="H16" s="6" t="s">
        <v>267</v>
      </c>
      <c r="J16" s="70">
        <v>29656000</v>
      </c>
      <c r="Q16"/>
      <c r="R16"/>
      <c r="S16"/>
      <c r="T16"/>
      <c r="U16"/>
      <c r="V16"/>
      <c r="Z16" s="1" t="s">
        <v>244</v>
      </c>
      <c r="AC16" s="72"/>
      <c r="AD16" s="72"/>
      <c r="AI16" s="1"/>
      <c r="AK16" s="258" t="s">
        <v>250</v>
      </c>
      <c r="AL16" s="6">
        <f>AK15/365</f>
        <v>696012.18318651291</v>
      </c>
      <c r="AQ16" s="85"/>
    </row>
    <row r="17" spans="8:42" x14ac:dyDescent="0.2">
      <c r="H17" s="6" t="s">
        <v>268</v>
      </c>
      <c r="J17" s="70">
        <v>29167000</v>
      </c>
      <c r="K17" s="70"/>
      <c r="Z17" s="77" t="s">
        <v>251</v>
      </c>
    </row>
    <row r="18" spans="8:42" x14ac:dyDescent="0.2">
      <c r="AB18" s="6">
        <f>AB15/365</f>
        <v>671160.16347277095</v>
      </c>
      <c r="AH18" s="74" t="s">
        <v>247</v>
      </c>
      <c r="AI18" s="84" t="s">
        <v>266</v>
      </c>
      <c r="AK18" s="86"/>
    </row>
    <row r="19" spans="8:42" x14ac:dyDescent="0.2">
      <c r="AB19" s="75"/>
      <c r="AI19" s="77" t="s">
        <v>115</v>
      </c>
    </row>
    <row r="20" spans="8:42" x14ac:dyDescent="0.2">
      <c r="Y20" s="74" t="s">
        <v>245</v>
      </c>
      <c r="Z20" s="1"/>
      <c r="AB20" s="6">
        <f>AB21/365</f>
        <v>738276.17982004804</v>
      </c>
      <c r="AI20" s="77" t="s">
        <v>246</v>
      </c>
    </row>
    <row r="21" spans="8:42" x14ac:dyDescent="0.2">
      <c r="Z21" s="78" t="s">
        <v>224</v>
      </c>
      <c r="AA21" s="78"/>
      <c r="AB21" s="82">
        <f>AB15*1.1</f>
        <v>269470805.63431752</v>
      </c>
    </row>
    <row r="22" spans="8:42" x14ac:dyDescent="0.2">
      <c r="Z22" s="195" t="s">
        <v>225</v>
      </c>
      <c r="AA22" s="78"/>
      <c r="AB22" s="78"/>
      <c r="AF22" s="85"/>
      <c r="AI22" s="77"/>
    </row>
    <row r="23" spans="8:42" x14ac:dyDescent="0.2">
      <c r="AF23" s="85"/>
      <c r="AI23" s="77"/>
    </row>
    <row r="24" spans="8:42" x14ac:dyDescent="0.2">
      <c r="Z24" s="209" t="s">
        <v>227</v>
      </c>
      <c r="AA24" s="78"/>
      <c r="AB24" s="82">
        <f>S14*0.9</f>
        <v>269310874.32454544</v>
      </c>
      <c r="AF24" s="85"/>
      <c r="AI24" s="77"/>
    </row>
    <row r="25" spans="8:42" x14ac:dyDescent="0.2">
      <c r="Z25" s="209" t="s">
        <v>228</v>
      </c>
      <c r="AA25" s="78"/>
      <c r="AB25" s="78"/>
      <c r="AF25" s="85"/>
    </row>
    <row r="26" spans="8:42" x14ac:dyDescent="0.2">
      <c r="AF26" s="85"/>
    </row>
    <row r="27" spans="8:42" x14ac:dyDescent="0.2">
      <c r="Z27" s="77" t="s">
        <v>248</v>
      </c>
      <c r="AF27" s="85"/>
    </row>
    <row r="28" spans="8:42" x14ac:dyDescent="0.2">
      <c r="AF28" s="85"/>
    </row>
    <row r="29" spans="8:42" x14ac:dyDescent="0.2">
      <c r="AF29" s="85"/>
      <c r="AK29" s="70"/>
      <c r="AL29" s="70"/>
      <c r="AN29" s="71"/>
      <c r="AO29" s="71"/>
      <c r="AP29" s="71"/>
    </row>
    <row r="30" spans="8:42" x14ac:dyDescent="0.2">
      <c r="AF30" s="85"/>
      <c r="AK30" s="70"/>
      <c r="AL30" s="70"/>
      <c r="AN30" s="71"/>
      <c r="AO30" s="71"/>
      <c r="AP30" s="71"/>
    </row>
    <row r="31" spans="8:42" x14ac:dyDescent="0.2">
      <c r="AF31" s="85"/>
      <c r="AK31" s="70"/>
      <c r="AL31" s="70"/>
      <c r="AN31" s="71"/>
      <c r="AO31" s="71"/>
      <c r="AP31" s="71"/>
    </row>
    <row r="32" spans="8:42" x14ac:dyDescent="0.2">
      <c r="AF32" s="85"/>
      <c r="AK32" s="70"/>
      <c r="AL32" s="70"/>
      <c r="AN32" s="71"/>
      <c r="AO32" s="71"/>
      <c r="AP32" s="71"/>
    </row>
    <row r="33" spans="32:42" x14ac:dyDescent="0.2">
      <c r="AF33" s="85"/>
      <c r="AK33" s="70"/>
      <c r="AL33" s="70"/>
      <c r="AN33" s="71"/>
      <c r="AO33" s="71"/>
      <c r="AP33" s="71"/>
    </row>
    <row r="34" spans="32:42" x14ac:dyDescent="0.2">
      <c r="AF34" s="85"/>
      <c r="AK34" s="70"/>
      <c r="AL34" s="70"/>
      <c r="AN34" s="71"/>
      <c r="AO34" s="71"/>
      <c r="AP34" s="71"/>
    </row>
    <row r="35" spans="32:42" x14ac:dyDescent="0.2">
      <c r="AF35" s="85"/>
      <c r="AK35" s="70"/>
      <c r="AL35" s="70"/>
      <c r="AN35" s="71"/>
      <c r="AO35" s="71"/>
      <c r="AP35" s="71"/>
    </row>
    <row r="36" spans="32:42" x14ac:dyDescent="0.2">
      <c r="AF36" s="85"/>
      <c r="AK36" s="70"/>
      <c r="AL36" s="70"/>
      <c r="AN36" s="71"/>
      <c r="AO36" s="71"/>
      <c r="AP36" s="71"/>
    </row>
    <row r="37" spans="32:42" x14ac:dyDescent="0.2">
      <c r="AK37" s="70"/>
      <c r="AL37" s="70"/>
      <c r="AN37" s="71"/>
      <c r="AO37" s="71"/>
      <c r="AP37" s="71"/>
    </row>
    <row r="38" spans="32:42" x14ac:dyDescent="0.2">
      <c r="AK38" s="70"/>
      <c r="AL38" s="70"/>
      <c r="AN38" s="71"/>
      <c r="AO38" s="71"/>
      <c r="AP38" s="71"/>
    </row>
    <row r="39" spans="32:42" x14ac:dyDescent="0.2">
      <c r="AK39" s="70"/>
      <c r="AL39" s="70"/>
      <c r="AN39" s="71"/>
      <c r="AO39" s="71"/>
      <c r="AP39" s="71"/>
    </row>
    <row r="40" spans="32:42" x14ac:dyDescent="0.2">
      <c r="AK40" s="70"/>
      <c r="AL40" s="70"/>
      <c r="AN40" s="71"/>
      <c r="AO40" s="71"/>
      <c r="AP40" s="71"/>
    </row>
    <row r="41" spans="32:42" x14ac:dyDescent="0.2">
      <c r="AK41" s="70"/>
      <c r="AL41" s="7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8B20-9894-4AA1-BB05-C7F6059F3A39}">
  <sheetPr>
    <tabColor theme="0" tint="-0.34998626667073579"/>
  </sheetPr>
  <dimension ref="B1:P54"/>
  <sheetViews>
    <sheetView showGridLines="0" topLeftCell="A34" workbookViewId="0">
      <selection activeCell="Z18" sqref="Z18:Z20"/>
    </sheetView>
  </sheetViews>
  <sheetFormatPr defaultRowHeight="25.5" customHeight="1" x14ac:dyDescent="0.2"/>
  <cols>
    <col min="1" max="1" width="2.875" style="438" customWidth="1"/>
    <col min="2" max="2" width="19.875" style="438" customWidth="1"/>
    <col min="3" max="7" width="9" style="438"/>
    <col min="8" max="8" width="18.125" style="438" customWidth="1"/>
    <col min="9" max="10" width="9" style="438"/>
    <col min="11" max="11" width="8.375" style="438" bestFit="1" customWidth="1"/>
    <col min="12" max="18" width="9" style="438"/>
    <col min="19" max="19" width="30.375" style="438" customWidth="1"/>
    <col min="20" max="16384" width="9" style="438"/>
  </cols>
  <sheetData>
    <row r="1" spans="2:2" s="451" customFormat="1" ht="25.5" customHeight="1" x14ac:dyDescent="0.2">
      <c r="B1" s="419" t="s">
        <v>358</v>
      </c>
    </row>
    <row r="2" spans="2:2" s="451" customFormat="1" ht="25.5" customHeight="1" x14ac:dyDescent="0.2">
      <c r="B2" s="451" t="s">
        <v>341</v>
      </c>
    </row>
    <row r="3" spans="2:2" s="451" customFormat="1" ht="25.5" customHeight="1" x14ac:dyDescent="0.2"/>
    <row r="4" spans="2:2" s="451" customFormat="1" ht="25.5" customHeight="1" x14ac:dyDescent="0.2">
      <c r="B4" s="452" t="s">
        <v>359</v>
      </c>
    </row>
    <row r="5" spans="2:2" s="451" customFormat="1" ht="21" x14ac:dyDescent="0.2">
      <c r="B5" s="453" t="s">
        <v>361</v>
      </c>
    </row>
    <row r="6" spans="2:2" s="451" customFormat="1" ht="20.25" x14ac:dyDescent="0.2">
      <c r="B6" s="451" t="s">
        <v>362</v>
      </c>
    </row>
    <row r="7" spans="2:2" s="451" customFormat="1" ht="20.25" x14ac:dyDescent="0.2">
      <c r="B7" s="451" t="s">
        <v>383</v>
      </c>
    </row>
    <row r="8" spans="2:2" s="451" customFormat="1" ht="344.25" x14ac:dyDescent="0.2">
      <c r="B8" s="454" t="s">
        <v>384</v>
      </c>
    </row>
    <row r="9" spans="2:2" s="451" customFormat="1" ht="20.25" x14ac:dyDescent="0.2">
      <c r="B9" s="451" t="s">
        <v>363</v>
      </c>
    </row>
    <row r="10" spans="2:2" s="451" customFormat="1" ht="25.5" customHeight="1" x14ac:dyDescent="0.2">
      <c r="B10" s="451" t="s">
        <v>371</v>
      </c>
    </row>
    <row r="11" spans="2:2" s="451" customFormat="1" ht="20.25" x14ac:dyDescent="0.2"/>
    <row r="12" spans="2:2" s="451" customFormat="1" ht="21" x14ac:dyDescent="0.2">
      <c r="B12" s="453" t="s">
        <v>364</v>
      </c>
    </row>
    <row r="13" spans="2:2" s="451" customFormat="1" ht="21" x14ac:dyDescent="0.2">
      <c r="B13" s="455" t="s">
        <v>381</v>
      </c>
    </row>
    <row r="14" spans="2:2" s="451" customFormat="1" ht="20.25" x14ac:dyDescent="0.2">
      <c r="B14" s="455" t="s">
        <v>369</v>
      </c>
    </row>
    <row r="15" spans="2:2" s="451" customFormat="1" ht="21" x14ac:dyDescent="0.2">
      <c r="B15" s="456" t="s">
        <v>368</v>
      </c>
    </row>
    <row r="16" spans="2:2" s="451" customFormat="1" ht="20.25" x14ac:dyDescent="0.2">
      <c r="B16" s="455" t="s">
        <v>385</v>
      </c>
    </row>
    <row r="17" spans="2:16" s="451" customFormat="1" ht="21" x14ac:dyDescent="0.2">
      <c r="B17" s="456" t="s">
        <v>370</v>
      </c>
    </row>
    <row r="18" spans="2:16" s="451" customFormat="1" ht="384.75" x14ac:dyDescent="0.2">
      <c r="B18" s="457" t="s">
        <v>392</v>
      </c>
    </row>
    <row r="19" spans="2:16" s="451" customFormat="1" ht="25.5" customHeight="1" x14ac:dyDescent="0.2"/>
    <row r="20" spans="2:16" s="451" customFormat="1" ht="25.5" customHeight="1" x14ac:dyDescent="0.2">
      <c r="B20" s="453" t="s">
        <v>380</v>
      </c>
    </row>
    <row r="21" spans="2:16" s="451" customFormat="1" ht="25.5" customHeight="1" x14ac:dyDescent="0.2">
      <c r="B21" s="451" t="s">
        <v>382</v>
      </c>
    </row>
    <row r="22" spans="2:16" s="451" customFormat="1" ht="25.5" customHeight="1" x14ac:dyDescent="0.2">
      <c r="B22" s="453" t="s">
        <v>386</v>
      </c>
    </row>
    <row r="23" spans="2:16" s="451" customFormat="1" ht="25.5" customHeight="1" x14ac:dyDescent="0.2">
      <c r="B23" s="453" t="s">
        <v>387</v>
      </c>
    </row>
    <row r="24" spans="2:16" s="451" customFormat="1" ht="25.5" customHeight="1" x14ac:dyDescent="0.2"/>
    <row r="25" spans="2:16" s="451" customFormat="1" ht="25.5" customHeight="1" x14ac:dyDescent="0.2">
      <c r="B25" s="453" t="s">
        <v>390</v>
      </c>
    </row>
    <row r="26" spans="2:16" s="451" customFormat="1" ht="25.5" customHeight="1" x14ac:dyDescent="0.2">
      <c r="B26" s="451" t="s">
        <v>391</v>
      </c>
      <c r="P26" s="77"/>
    </row>
    <row r="27" spans="2:16" s="451" customFormat="1" ht="25.5" customHeight="1" x14ac:dyDescent="0.2">
      <c r="P27" s="77"/>
    </row>
    <row r="28" spans="2:16" s="451" customFormat="1" ht="25.5" customHeight="1" x14ac:dyDescent="0.2">
      <c r="B28" s="452" t="s">
        <v>360</v>
      </c>
      <c r="P28" s="77"/>
    </row>
    <row r="29" spans="2:16" s="451" customFormat="1" ht="25.5" customHeight="1" x14ac:dyDescent="0.2">
      <c r="B29" s="451" t="s">
        <v>349</v>
      </c>
      <c r="P29" s="407"/>
    </row>
    <row r="30" spans="2:16" s="451" customFormat="1" ht="25.5" customHeight="1" x14ac:dyDescent="0.2">
      <c r="B30" s="451" t="s">
        <v>350</v>
      </c>
      <c r="P30" s="77"/>
    </row>
    <row r="31" spans="2:16" s="451" customFormat="1" ht="25.5" customHeight="1" x14ac:dyDescent="0.2">
      <c r="B31" s="451" t="s">
        <v>351</v>
      </c>
      <c r="P31" s="77"/>
    </row>
    <row r="32" spans="2:16" s="451" customFormat="1" ht="25.5" customHeight="1" x14ac:dyDescent="0.2">
      <c r="B32" s="451" t="s">
        <v>342</v>
      </c>
    </row>
    <row r="35" spans="2:12" ht="25.5" customHeight="1" x14ac:dyDescent="0.2">
      <c r="B35" s="90" t="s">
        <v>334</v>
      </c>
      <c r="C35" s="91" t="s">
        <v>92</v>
      </c>
      <c r="D35" s="91" t="s">
        <v>93</v>
      </c>
      <c r="E35" s="91" t="s">
        <v>61</v>
      </c>
      <c r="F35" s="92" t="s">
        <v>333</v>
      </c>
    </row>
    <row r="36" spans="2:12" ht="25.5" customHeight="1" x14ac:dyDescent="0.3">
      <c r="B36" s="342" t="s">
        <v>326</v>
      </c>
      <c r="C36" s="351">
        <v>23226680.764999997</v>
      </c>
      <c r="D36" s="351">
        <v>16184643.320878342</v>
      </c>
      <c r="E36" s="351">
        <v>18883027.534689799</v>
      </c>
      <c r="F36" s="352">
        <v>58294351.620568141</v>
      </c>
      <c r="H36" s="439"/>
      <c r="I36" s="439"/>
      <c r="J36" s="439"/>
      <c r="K36" s="439"/>
    </row>
    <row r="37" spans="2:12" ht="30" x14ac:dyDescent="0.3">
      <c r="B37" s="320" t="s">
        <v>327</v>
      </c>
      <c r="C37" s="347">
        <v>19601680.764999997</v>
      </c>
      <c r="D37" s="347">
        <v>13951219.353999998</v>
      </c>
      <c r="E37" s="347">
        <v>15859315.39996757</v>
      </c>
      <c r="F37" s="348">
        <v>49412215.518967569</v>
      </c>
      <c r="H37" s="439"/>
      <c r="I37" s="439"/>
      <c r="J37" s="439"/>
      <c r="K37" s="439"/>
    </row>
    <row r="38" spans="2:12" ht="25.5" customHeight="1" x14ac:dyDescent="0.3">
      <c r="B38" s="321" t="s">
        <v>328</v>
      </c>
      <c r="C38" s="338">
        <v>2850000</v>
      </c>
      <c r="D38" s="338">
        <v>1600000</v>
      </c>
      <c r="E38" s="338">
        <v>2200000</v>
      </c>
      <c r="F38" s="339">
        <v>6650000</v>
      </c>
      <c r="H38" s="439"/>
      <c r="I38" s="439"/>
      <c r="J38" s="439"/>
      <c r="K38" s="439"/>
    </row>
    <row r="39" spans="2:12" ht="25.5" customHeight="1" x14ac:dyDescent="0.3">
      <c r="B39" s="343" t="s">
        <v>285</v>
      </c>
      <c r="C39" s="302">
        <v>775000</v>
      </c>
      <c r="D39" s="302">
        <v>633423.96687834384</v>
      </c>
      <c r="E39" s="302">
        <v>823712.13472223061</v>
      </c>
      <c r="F39" s="344">
        <v>2232136.1016005743</v>
      </c>
      <c r="H39" s="439"/>
      <c r="I39" s="439"/>
      <c r="J39" s="439"/>
      <c r="K39" s="439"/>
    </row>
    <row r="42" spans="2:12" ht="25.5" customHeight="1" x14ac:dyDescent="0.2">
      <c r="B42" s="391" t="s">
        <v>331</v>
      </c>
      <c r="H42" s="391" t="s">
        <v>332</v>
      </c>
    </row>
    <row r="43" spans="2:12" ht="25.5" customHeight="1" x14ac:dyDescent="0.2">
      <c r="B43" s="117" t="s">
        <v>325</v>
      </c>
      <c r="C43" s="118" t="s">
        <v>92</v>
      </c>
      <c r="D43" s="118" t="s">
        <v>93</v>
      </c>
      <c r="E43" s="118" t="s">
        <v>61</v>
      </c>
      <c r="F43" s="119" t="s">
        <v>333</v>
      </c>
      <c r="H43" s="90" t="s">
        <v>325</v>
      </c>
      <c r="I43" s="91" t="s">
        <v>92</v>
      </c>
      <c r="J43" s="91" t="s">
        <v>93</v>
      </c>
      <c r="K43" s="91" t="s">
        <v>61</v>
      </c>
      <c r="L43" s="92" t="s">
        <v>333</v>
      </c>
    </row>
    <row r="44" spans="2:12" ht="25.5" customHeight="1" x14ac:dyDescent="0.2">
      <c r="B44" s="342" t="s">
        <v>326</v>
      </c>
      <c r="C44" s="351">
        <v>20820547.162053242</v>
      </c>
      <c r="D44" s="351">
        <v>14409560.846019916</v>
      </c>
      <c r="E44" s="351">
        <v>16416014.112355202</v>
      </c>
      <c r="F44" s="352">
        <v>51646122.120428368</v>
      </c>
      <c r="H44" s="342" t="s">
        <v>326</v>
      </c>
      <c r="I44" s="351">
        <v>21655547.162053242</v>
      </c>
      <c r="J44" s="351">
        <v>15169560.846019916</v>
      </c>
      <c r="K44" s="351">
        <v>17491014.112355202</v>
      </c>
      <c r="L44" s="352">
        <v>54316122.120428361</v>
      </c>
    </row>
    <row r="45" spans="2:12" ht="30" x14ac:dyDescent="0.2">
      <c r="B45" s="320" t="s">
        <v>327</v>
      </c>
      <c r="C45" s="347">
        <v>17900929.373477902</v>
      </c>
      <c r="D45" s="347">
        <v>12136832.387828136</v>
      </c>
      <c r="E45" s="347">
        <v>13496396.323779862</v>
      </c>
      <c r="F45" s="348">
        <v>43534158.085085899</v>
      </c>
      <c r="H45" s="320" t="s">
        <v>327</v>
      </c>
      <c r="I45" s="347">
        <v>18435929.373477902</v>
      </c>
      <c r="J45" s="347">
        <v>12896832.387828136</v>
      </c>
      <c r="K45" s="347">
        <v>14571396.323779862</v>
      </c>
      <c r="L45" s="348">
        <v>45904158.085085899</v>
      </c>
    </row>
    <row r="46" spans="2:12" ht="25.5" customHeight="1" x14ac:dyDescent="0.2">
      <c r="B46" s="321" t="s">
        <v>328</v>
      </c>
      <c r="C46" s="338">
        <v>2241015.0547945211</v>
      </c>
      <c r="D46" s="338">
        <v>1659796.9567123293</v>
      </c>
      <c r="E46" s="338">
        <v>2241015.0547945211</v>
      </c>
      <c r="F46" s="339">
        <v>6141827.0663013719</v>
      </c>
      <c r="H46" s="321" t="s">
        <v>328</v>
      </c>
      <c r="I46" s="338">
        <v>2541015.0547945211</v>
      </c>
      <c r="J46" s="338">
        <v>1659796.9567123293</v>
      </c>
      <c r="K46" s="338">
        <v>2241015.0547945211</v>
      </c>
      <c r="L46" s="339">
        <v>6441827.066301371</v>
      </c>
    </row>
    <row r="47" spans="2:12" ht="25.5" customHeight="1" x14ac:dyDescent="0.2">
      <c r="B47" s="343" t="s">
        <v>285</v>
      </c>
      <c r="C47" s="302">
        <v>678602.73378082016</v>
      </c>
      <c r="D47" s="302">
        <v>612931.5014794505</v>
      </c>
      <c r="E47" s="302">
        <v>678602.73378082016</v>
      </c>
      <c r="F47" s="344">
        <v>1970136.9690410907</v>
      </c>
      <c r="H47" s="343" t="s">
        <v>285</v>
      </c>
      <c r="I47" s="302">
        <v>678602.73378082016</v>
      </c>
      <c r="J47" s="302">
        <v>612931.5014794505</v>
      </c>
      <c r="K47" s="302">
        <v>678602.73378082016</v>
      </c>
      <c r="L47" s="344">
        <v>1970136.9690410907</v>
      </c>
    </row>
    <row r="49" spans="2:12" ht="25.5" customHeight="1" x14ac:dyDescent="0.2">
      <c r="B49" s="391" t="s">
        <v>331</v>
      </c>
      <c r="H49" s="391" t="s">
        <v>332</v>
      </c>
    </row>
    <row r="50" spans="2:12" ht="25.5" customHeight="1" x14ac:dyDescent="0.2">
      <c r="B50" s="117" t="s">
        <v>335</v>
      </c>
      <c r="C50" s="118" t="s">
        <v>92</v>
      </c>
      <c r="D50" s="118" t="s">
        <v>93</v>
      </c>
      <c r="E50" s="118" t="s">
        <v>61</v>
      </c>
      <c r="F50" s="119" t="s">
        <v>333</v>
      </c>
      <c r="G50" s="1"/>
      <c r="H50" s="90" t="s">
        <v>335</v>
      </c>
      <c r="I50" s="91" t="s">
        <v>92</v>
      </c>
      <c r="J50" s="91" t="s">
        <v>93</v>
      </c>
      <c r="K50" s="91" t="s">
        <v>61</v>
      </c>
      <c r="L50" s="92" t="s">
        <v>333</v>
      </c>
    </row>
    <row r="51" spans="2:12" ht="25.5" customHeight="1" x14ac:dyDescent="0.2">
      <c r="B51" s="342" t="s">
        <v>326</v>
      </c>
      <c r="C51" s="355">
        <v>0.89640648066371464</v>
      </c>
      <c r="D51" s="355">
        <v>0.89032304020141406</v>
      </c>
      <c r="E51" s="355">
        <v>0.86935286633446496</v>
      </c>
      <c r="F51" s="356">
        <v>0.8859541393750735</v>
      </c>
      <c r="G51" s="1"/>
      <c r="H51" s="342" t="s">
        <v>326</v>
      </c>
      <c r="I51" s="355">
        <v>0.93235651624771643</v>
      </c>
      <c r="J51" s="355">
        <v>0.93728113405199609</v>
      </c>
      <c r="K51" s="355">
        <v>0.92628229664033779</v>
      </c>
      <c r="L51" s="356">
        <v>0.93175617552050904</v>
      </c>
    </row>
    <row r="52" spans="2:12" ht="30" x14ac:dyDescent="0.2">
      <c r="B52" s="320" t="s">
        <v>327</v>
      </c>
      <c r="C52" s="359">
        <v>0.91323441025736474</v>
      </c>
      <c r="D52" s="359">
        <v>0.86994778591509614</v>
      </c>
      <c r="E52" s="359">
        <v>0.85100749833170353</v>
      </c>
      <c r="F52" s="360">
        <v>0.88104039917770338</v>
      </c>
      <c r="G52" s="1"/>
      <c r="H52" s="320" t="s">
        <v>327</v>
      </c>
      <c r="I52" s="359">
        <v>0.94052798810989646</v>
      </c>
      <c r="J52" s="359">
        <v>0.92442331100832731</v>
      </c>
      <c r="K52" s="359">
        <v>0.91879100429578808</v>
      </c>
      <c r="L52" s="360">
        <v>0.92900424728911313</v>
      </c>
    </row>
    <row r="53" spans="2:12" ht="25.5" customHeight="1" x14ac:dyDescent="0.2">
      <c r="B53" s="321" t="s">
        <v>328</v>
      </c>
      <c r="C53" s="363">
        <v>0.78632107185772671</v>
      </c>
      <c r="D53" s="363">
        <v>1.0373730979452058</v>
      </c>
      <c r="E53" s="363">
        <v>1.0186432067247824</v>
      </c>
      <c r="F53" s="364">
        <v>0.92358301748892813</v>
      </c>
      <c r="G53" s="1"/>
      <c r="H53" s="321" t="s">
        <v>328</v>
      </c>
      <c r="I53" s="363">
        <v>0.89158422975246354</v>
      </c>
      <c r="J53" s="363">
        <v>1.0373730979452058</v>
      </c>
      <c r="K53" s="363">
        <v>1.0186432067247824</v>
      </c>
      <c r="L53" s="364">
        <v>0.96869579944381523</v>
      </c>
    </row>
    <row r="54" spans="2:12" ht="25.5" customHeight="1" x14ac:dyDescent="0.2">
      <c r="B54" s="343" t="s">
        <v>285</v>
      </c>
      <c r="C54" s="316">
        <v>0.87561643068492923</v>
      </c>
      <c r="D54" s="316">
        <v>0.96764810542315782</v>
      </c>
      <c r="E54" s="316">
        <v>0.82383481458562735</v>
      </c>
      <c r="F54" s="367">
        <v>0.88262403337699047</v>
      </c>
      <c r="G54" s="1"/>
      <c r="H54" s="343" t="s">
        <v>285</v>
      </c>
      <c r="I54" s="316">
        <v>0.87561643068492923</v>
      </c>
      <c r="J54" s="316">
        <v>0.96764810542315782</v>
      </c>
      <c r="K54" s="316">
        <v>0.82383481458562735</v>
      </c>
      <c r="L54" s="367">
        <v>0.88262403337699047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1985-CDE2-4805-A373-9B77C0922C84}">
  <sheetPr>
    <tabColor theme="0" tint="-0.34998626667073579"/>
  </sheetPr>
  <dimension ref="A1:BM116"/>
  <sheetViews>
    <sheetView topLeftCell="AJ49" workbookViewId="0">
      <selection activeCell="AT65" sqref="AT65"/>
    </sheetView>
  </sheetViews>
  <sheetFormatPr defaultRowHeight="16.5" x14ac:dyDescent="0.2"/>
  <cols>
    <col min="1" max="1" width="13.875" style="1" customWidth="1"/>
    <col min="2" max="2" width="31.375" style="1" customWidth="1"/>
    <col min="3" max="3" width="9" style="1" customWidth="1"/>
    <col min="4" max="13" width="7.875" style="1" customWidth="1"/>
    <col min="14" max="15" width="10.125" style="1" customWidth="1"/>
    <col min="16" max="22" width="9" style="1" customWidth="1"/>
    <col min="23" max="23" width="11.625" style="1" bestFit="1" customWidth="1"/>
    <col min="24" max="24" width="32.125" style="1" customWidth="1"/>
    <col min="25" max="26" width="9.25" style="1" customWidth="1"/>
    <col min="27" max="27" width="11.375" style="1" customWidth="1"/>
    <col min="28" max="28" width="10.25" style="1" customWidth="1"/>
    <col min="29" max="33" width="7.875" style="1" customWidth="1"/>
    <col min="34" max="35" width="9.25" style="1" customWidth="1"/>
    <col min="36" max="36" width="9.375" style="1" customWidth="1"/>
    <col min="37" max="37" width="9" style="1"/>
    <col min="38" max="39" width="9" style="1" customWidth="1"/>
    <col min="40" max="43" width="7.875" style="1" customWidth="1"/>
    <col min="44" max="44" width="12.25" style="1" customWidth="1"/>
    <col min="45" max="45" width="9" style="1"/>
    <col min="46" max="46" width="31.375" style="1" bestFit="1" customWidth="1"/>
    <col min="47" max="16384" width="9" style="1"/>
  </cols>
  <sheetData>
    <row r="1" spans="1:65" x14ac:dyDescent="0.2">
      <c r="AJ1" s="324"/>
    </row>
    <row r="2" spans="1:65" s="386" customFormat="1" ht="29.25" x14ac:dyDescent="0.2">
      <c r="B2" s="379" t="s">
        <v>307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X2" s="419" t="s">
        <v>343</v>
      </c>
      <c r="Y2" s="381"/>
      <c r="Z2" s="380"/>
      <c r="AA2" s="380"/>
      <c r="AB2" s="380"/>
      <c r="AC2" s="380"/>
      <c r="AD2" s="380"/>
      <c r="AE2" s="381"/>
      <c r="AF2" s="381"/>
      <c r="AG2" s="380"/>
      <c r="AH2" s="380"/>
      <c r="AI2" s="380"/>
      <c r="AJ2" s="324"/>
      <c r="AK2" s="420"/>
      <c r="AL2" s="380"/>
      <c r="AM2" s="380"/>
      <c r="AN2" s="380"/>
      <c r="AO2" s="380"/>
      <c r="AP2" s="380"/>
      <c r="AQ2" s="380"/>
      <c r="AT2" s="379" t="s">
        <v>307</v>
      </c>
      <c r="AU2" s="381"/>
      <c r="AV2" s="380"/>
      <c r="AW2" s="380"/>
      <c r="AX2" s="380"/>
      <c r="AY2" s="380"/>
      <c r="AZ2" s="380"/>
      <c r="BA2" s="381"/>
      <c r="BB2" s="381"/>
      <c r="BC2" s="380"/>
      <c r="BD2" s="380"/>
      <c r="BE2" s="380"/>
      <c r="BF2" s="380"/>
      <c r="BG2" s="381"/>
      <c r="BH2" s="380"/>
      <c r="BI2" s="380"/>
      <c r="BJ2" s="380"/>
      <c r="BK2" s="380"/>
      <c r="BL2" s="380"/>
      <c r="BM2" s="380"/>
    </row>
    <row r="3" spans="1:65" x14ac:dyDescent="0.2">
      <c r="B3" s="403" t="s">
        <v>276</v>
      </c>
      <c r="C3" s="94" t="s">
        <v>92</v>
      </c>
      <c r="D3" s="94" t="s">
        <v>93</v>
      </c>
      <c r="E3" s="94" t="s">
        <v>61</v>
      </c>
      <c r="F3" s="94" t="s">
        <v>62</v>
      </c>
      <c r="G3" s="94" t="s">
        <v>63</v>
      </c>
      <c r="H3" s="94" t="s">
        <v>64</v>
      </c>
      <c r="I3" s="94" t="s">
        <v>65</v>
      </c>
      <c r="J3" s="94" t="s">
        <v>66</v>
      </c>
      <c r="K3" s="94" t="s">
        <v>67</v>
      </c>
      <c r="L3" s="94" t="s">
        <v>68</v>
      </c>
      <c r="M3" s="94" t="s">
        <v>69</v>
      </c>
      <c r="N3" s="94" t="s">
        <v>86</v>
      </c>
      <c r="O3" s="95" t="s">
        <v>277</v>
      </c>
      <c r="P3" s="404" t="s">
        <v>278</v>
      </c>
      <c r="Q3" s="95" t="s">
        <v>279</v>
      </c>
      <c r="R3" s="404" t="s">
        <v>280</v>
      </c>
      <c r="S3" s="94" t="s">
        <v>126</v>
      </c>
      <c r="T3" s="94" t="s">
        <v>281</v>
      </c>
      <c r="U3" s="405" t="s">
        <v>150</v>
      </c>
      <c r="X3" s="90" t="s">
        <v>299</v>
      </c>
      <c r="Y3" s="91" t="s">
        <v>92</v>
      </c>
      <c r="Z3" s="91" t="s">
        <v>93</v>
      </c>
      <c r="AA3" s="91" t="s">
        <v>61</v>
      </c>
      <c r="AB3" s="91" t="s">
        <v>62</v>
      </c>
      <c r="AC3" s="91" t="s">
        <v>63</v>
      </c>
      <c r="AD3" s="91" t="s">
        <v>64</v>
      </c>
      <c r="AE3" s="91" t="s">
        <v>65</v>
      </c>
      <c r="AF3" s="91" t="s">
        <v>66</v>
      </c>
      <c r="AG3" s="91" t="s">
        <v>67</v>
      </c>
      <c r="AH3" s="91" t="s">
        <v>68</v>
      </c>
      <c r="AI3" s="91" t="s">
        <v>69</v>
      </c>
      <c r="AJ3" s="91" t="s">
        <v>86</v>
      </c>
      <c r="AK3" s="92" t="s">
        <v>277</v>
      </c>
      <c r="AL3" s="285" t="s">
        <v>278</v>
      </c>
      <c r="AM3" s="92" t="s">
        <v>279</v>
      </c>
      <c r="AN3" s="285" t="s">
        <v>280</v>
      </c>
      <c r="AO3" s="91" t="s">
        <v>126</v>
      </c>
      <c r="AP3" s="91" t="s">
        <v>281</v>
      </c>
      <c r="AQ3" s="287" t="s">
        <v>150</v>
      </c>
      <c r="AT3" s="90" t="s">
        <v>320</v>
      </c>
      <c r="AU3" s="91" t="s">
        <v>92</v>
      </c>
      <c r="AV3" s="91" t="s">
        <v>93</v>
      </c>
      <c r="AW3" s="91" t="s">
        <v>61</v>
      </c>
      <c r="AX3" s="91" t="s">
        <v>62</v>
      </c>
      <c r="AY3" s="91" t="s">
        <v>63</v>
      </c>
      <c r="AZ3" s="91" t="s">
        <v>64</v>
      </c>
      <c r="BA3" s="91" t="s">
        <v>65</v>
      </c>
      <c r="BB3" s="91" t="s">
        <v>66</v>
      </c>
      <c r="BC3" s="91" t="s">
        <v>67</v>
      </c>
      <c r="BD3" s="91" t="s">
        <v>68</v>
      </c>
      <c r="BE3" s="91" t="s">
        <v>69</v>
      </c>
      <c r="BF3" s="91" t="s">
        <v>316</v>
      </c>
      <c r="BG3" s="92" t="s">
        <v>277</v>
      </c>
      <c r="BH3" s="285" t="s">
        <v>278</v>
      </c>
      <c r="BI3" s="92" t="s">
        <v>279</v>
      </c>
      <c r="BJ3" s="285" t="s">
        <v>280</v>
      </c>
      <c r="BK3" s="91" t="s">
        <v>126</v>
      </c>
      <c r="BL3" s="91" t="s">
        <v>281</v>
      </c>
      <c r="BM3" s="287" t="s">
        <v>150</v>
      </c>
    </row>
    <row r="4" spans="1:65" s="370" customFormat="1" x14ac:dyDescent="0.2">
      <c r="A4" s="370" t="s">
        <v>313</v>
      </c>
      <c r="B4" s="327" t="s">
        <v>308</v>
      </c>
      <c r="C4" s="325">
        <v>107813292.90000001</v>
      </c>
      <c r="D4" s="325">
        <v>81747623</v>
      </c>
      <c r="E4" s="325">
        <v>84492124</v>
      </c>
      <c r="F4" s="325">
        <v>84646543</v>
      </c>
      <c r="G4" s="324">
        <v>83475150</v>
      </c>
      <c r="H4" s="324">
        <v>78490927</v>
      </c>
      <c r="I4" s="324">
        <v>80703402</v>
      </c>
      <c r="J4" s="324">
        <v>74913585</v>
      </c>
      <c r="K4" s="324">
        <v>83150977</v>
      </c>
      <c r="L4" s="324">
        <v>90542776</v>
      </c>
      <c r="M4" s="324">
        <v>88943142</v>
      </c>
      <c r="N4" s="324">
        <v>82689520.399999991</v>
      </c>
      <c r="O4" s="323">
        <f t="shared" ref="O4:O12" si="0">SUM(C4:N4)</f>
        <v>1021609062.3</v>
      </c>
      <c r="P4" s="324">
        <f t="shared" ref="P4:P12" si="1">SUM(C4:H4)</f>
        <v>520665659.89999998</v>
      </c>
      <c r="Q4" s="323">
        <f t="shared" ref="Q4:Q12" si="2">SUM(I4:N4)</f>
        <v>500943402.39999998</v>
      </c>
      <c r="R4" s="324">
        <f t="shared" ref="R4:R12" si="3">SUM(C4:E4)</f>
        <v>274053039.89999998</v>
      </c>
      <c r="S4" s="325">
        <f t="shared" ref="S4:S12" si="4">SUM(F4:H4)</f>
        <v>246612620</v>
      </c>
      <c r="T4" s="325">
        <f t="shared" ref="T4:T12" si="5">SUM(I4:K4)</f>
        <v>238767964</v>
      </c>
      <c r="U4" s="326">
        <f t="shared" ref="U4:U12" si="6">SUM(L4:N4)</f>
        <v>262175438.39999998</v>
      </c>
      <c r="V4" s="371">
        <v>0.91806802515725916</v>
      </c>
      <c r="W4" s="370" t="s">
        <v>313</v>
      </c>
      <c r="X4" s="327" t="s">
        <v>308</v>
      </c>
      <c r="Y4" s="325">
        <v>25910623.999999996</v>
      </c>
      <c r="Z4" s="325">
        <v>18677402</v>
      </c>
      <c r="AA4" s="325">
        <v>20898078.452830188</v>
      </c>
      <c r="AB4" s="325">
        <v>20177138.886792451</v>
      </c>
      <c r="AC4" s="324">
        <v>18790332.490566038</v>
      </c>
      <c r="AD4" s="324">
        <v>19119338.679245282</v>
      </c>
      <c r="AE4" s="324">
        <v>18619342.396226414</v>
      </c>
      <c r="AF4" s="324">
        <v>17665711.561320756</v>
      </c>
      <c r="AG4" s="324">
        <v>17937356.905660376</v>
      </c>
      <c r="AH4" s="324">
        <v>17492226.924528301</v>
      </c>
      <c r="AI4" s="324">
        <v>21609474.481132075</v>
      </c>
      <c r="AJ4" s="324">
        <v>22762988.858490568</v>
      </c>
      <c r="AK4" s="323">
        <f t="shared" ref="AK4:AK12" si="7">SUM(Y4:AJ4)</f>
        <v>239660015.63679245</v>
      </c>
      <c r="AL4" s="324">
        <f t="shared" ref="AL4:AL12" si="8">SUM(Y4:AD4)</f>
        <v>123572914.50943397</v>
      </c>
      <c r="AM4" s="323">
        <f t="shared" ref="AM4:AM12" si="9">SUM(AE4:AJ4)</f>
        <v>116087101.1273585</v>
      </c>
      <c r="AN4" s="324">
        <f t="shared" ref="AN4:AN12" si="10">SUM(Y4:AA4)</f>
        <v>65486104.452830188</v>
      </c>
      <c r="AO4" s="325">
        <f t="shared" ref="AO4:AO12" si="11">SUM(AB4:AD4)</f>
        <v>58086810.056603774</v>
      </c>
      <c r="AP4" s="325">
        <f t="shared" ref="AP4:AP12" si="12">SUM(AE4:AG4)</f>
        <v>54222410.863207549</v>
      </c>
      <c r="AQ4" s="326">
        <f t="shared" ref="AQ4:AQ12" si="13">SUM(AH4:AJ4)</f>
        <v>61864690.264150947</v>
      </c>
      <c r="AR4" s="371">
        <v>0.90576699727698673</v>
      </c>
      <c r="AS4" s="373">
        <v>1.1200000000000001</v>
      </c>
      <c r="AT4" s="327" t="s">
        <v>308</v>
      </c>
      <c r="AU4" s="328">
        <f t="shared" ref="AU4:AU12" si="14">Y4*$AS4/C4</f>
        <v>0.26916809698890104</v>
      </c>
      <c r="AV4" s="328">
        <f t="shared" ref="AV4:AV12" si="15">Z4*$AS4/D4</f>
        <v>0.25589355962068772</v>
      </c>
      <c r="AW4" s="328">
        <f t="shared" ref="AW4:AW12" si="16">AA4*$AS4/E4</f>
        <v>0.27701810250585973</v>
      </c>
      <c r="AX4" s="328">
        <f t="shared" ref="AX4:AX12" si="17">AB4*$AS4/F4</f>
        <v>0.26697363828795168</v>
      </c>
      <c r="AY4" s="329">
        <f t="shared" ref="AY4:AY12" si="18">AC4*$AS4/G4</f>
        <v>0.25211302273112374</v>
      </c>
      <c r="AZ4" s="329">
        <f t="shared" ref="AZ4:AZ12" si="19">AD4*$AS4/H4</f>
        <v>0.27281700113893059</v>
      </c>
      <c r="BA4" s="329">
        <f t="shared" ref="BA4:BA12" si="20">AE4*$AS4/I4</f>
        <v>0.25839881550189897</v>
      </c>
      <c r="BB4" s="329">
        <f t="shared" ref="BB4:BB12" si="21">AF4*$AS4/J4</f>
        <v>0.26411226947260968</v>
      </c>
      <c r="BC4" s="329">
        <f t="shared" ref="BC4:BC12" si="22">AG4*$AS4/K4</f>
        <v>0.24160677912827921</v>
      </c>
      <c r="BD4" s="329">
        <f t="shared" ref="BD4:BD12" si="23">AH4*$AS4/L4</f>
        <v>0.21637611547796698</v>
      </c>
      <c r="BE4" s="329">
        <f t="shared" ref="BE4:BE12" si="24">AI4*$AS4/M4</f>
        <v>0.27211329479307045</v>
      </c>
      <c r="BF4" s="329">
        <f t="shared" ref="BF4:BF12" si="25">AJ4*$AS4/N4</f>
        <v>0.30831654843543443</v>
      </c>
      <c r="BG4" s="330">
        <f t="shared" ref="BG4:BG12" si="26">AK4*$AS4/O4</f>
        <v>0.2627416175311737</v>
      </c>
      <c r="BH4" s="329">
        <f t="shared" ref="BH4:BH12" si="27">AL4*$AS4/P4</f>
        <v>0.2658167705493536</v>
      </c>
      <c r="BI4" s="330">
        <f t="shared" ref="BI4:BI12" si="28">AM4*$AS4/Q4</f>
        <v>0.25954539502812612</v>
      </c>
      <c r="BJ4" s="329">
        <f t="shared" ref="BJ4:BJ12" si="29">AN4*$AS4/R4</f>
        <v>0.2676286204084169</v>
      </c>
      <c r="BK4" s="328">
        <f t="shared" ref="BK4:BK12" si="30">AO4*$AS4/S4</f>
        <v>0.26380331737847085</v>
      </c>
      <c r="BL4" s="328">
        <f t="shared" ref="BL4:BL12" si="31">AP4*$AS4/T4</f>
        <v>0.25434358592090045</v>
      </c>
      <c r="BM4" s="331">
        <f t="shared" ref="BM4:BM12" si="32">AQ4*$AS4/U4</f>
        <v>0.26428277766483971</v>
      </c>
    </row>
    <row r="5" spans="1:65" s="387" customFormat="1" x14ac:dyDescent="0.2">
      <c r="A5" s="370" t="s">
        <v>313</v>
      </c>
      <c r="B5" s="332" t="s">
        <v>309</v>
      </c>
      <c r="C5" s="333">
        <v>11875837.4</v>
      </c>
      <c r="D5" s="333">
        <v>9505244.5999999996</v>
      </c>
      <c r="E5" s="333">
        <v>8448582.2000000011</v>
      </c>
      <c r="F5" s="333">
        <v>10411125</v>
      </c>
      <c r="G5" s="333">
        <v>7751860</v>
      </c>
      <c r="H5" s="333">
        <v>8753480.5999999996</v>
      </c>
      <c r="I5" s="333">
        <v>9067021.2000000011</v>
      </c>
      <c r="J5" s="333">
        <v>7495744.7999999998</v>
      </c>
      <c r="K5" s="333">
        <v>13999987.799999999</v>
      </c>
      <c r="L5" s="333">
        <v>18029060</v>
      </c>
      <c r="M5" s="333">
        <v>16780506.699999999</v>
      </c>
      <c r="N5" s="333">
        <v>8632591.5</v>
      </c>
      <c r="O5" s="334">
        <f t="shared" si="0"/>
        <v>130751041.80000001</v>
      </c>
      <c r="P5" s="335">
        <f t="shared" si="1"/>
        <v>56746129.800000004</v>
      </c>
      <c r="Q5" s="334">
        <f t="shared" si="2"/>
        <v>74004912</v>
      </c>
      <c r="R5" s="335">
        <f t="shared" si="3"/>
        <v>29829664.200000003</v>
      </c>
      <c r="S5" s="333">
        <f t="shared" si="4"/>
        <v>26916465.600000001</v>
      </c>
      <c r="T5" s="333">
        <f t="shared" si="5"/>
        <v>30562753.799999997</v>
      </c>
      <c r="U5" s="336">
        <f t="shared" si="6"/>
        <v>43442158.200000003</v>
      </c>
      <c r="V5" s="371">
        <v>0.91563774264455489</v>
      </c>
      <c r="W5" s="370" t="s">
        <v>313</v>
      </c>
      <c r="X5" s="332" t="s">
        <v>309</v>
      </c>
      <c r="Y5" s="333">
        <v>2549751.2000000002</v>
      </c>
      <c r="Z5" s="333">
        <v>1880081.8</v>
      </c>
      <c r="AA5" s="333">
        <v>2130051.1999999997</v>
      </c>
      <c r="AB5" s="333">
        <v>2615080.4</v>
      </c>
      <c r="AC5" s="333">
        <v>1752152.4000000001</v>
      </c>
      <c r="AD5" s="333">
        <v>2225886</v>
      </c>
      <c r="AE5" s="333">
        <v>1876419.1</v>
      </c>
      <c r="AF5" s="333">
        <v>1908652.7</v>
      </c>
      <c r="AG5" s="333">
        <v>2008057.5999999999</v>
      </c>
      <c r="AH5" s="333">
        <v>1945294.6</v>
      </c>
      <c r="AI5" s="333">
        <v>3494718</v>
      </c>
      <c r="AJ5" s="333">
        <v>2180017.1</v>
      </c>
      <c r="AK5" s="334">
        <f t="shared" si="7"/>
        <v>26566162.100000005</v>
      </c>
      <c r="AL5" s="335">
        <f t="shared" si="8"/>
        <v>13153003</v>
      </c>
      <c r="AM5" s="334">
        <f t="shared" si="9"/>
        <v>13413159.1</v>
      </c>
      <c r="AN5" s="335">
        <f t="shared" si="10"/>
        <v>6559884.1999999993</v>
      </c>
      <c r="AO5" s="333">
        <f t="shared" si="11"/>
        <v>6593118.7999999998</v>
      </c>
      <c r="AP5" s="333">
        <f t="shared" si="12"/>
        <v>5793129.3999999994</v>
      </c>
      <c r="AQ5" s="336">
        <f t="shared" si="13"/>
        <v>7620029.6999999993</v>
      </c>
      <c r="AR5" s="371">
        <v>0.90104535088307058</v>
      </c>
      <c r="AS5" s="373">
        <v>1.1200000000000001</v>
      </c>
      <c r="AT5" s="332" t="s">
        <v>309</v>
      </c>
      <c r="AU5" s="374">
        <f t="shared" si="14"/>
        <v>0.24046484031517645</v>
      </c>
      <c r="AV5" s="374">
        <f t="shared" si="15"/>
        <v>0.22152945080445383</v>
      </c>
      <c r="AW5" s="374">
        <f t="shared" si="16"/>
        <v>0.28237369152897629</v>
      </c>
      <c r="AX5" s="374">
        <f t="shared" si="17"/>
        <v>0.28132310850172293</v>
      </c>
      <c r="AY5" s="374">
        <f t="shared" si="18"/>
        <v>0.25315352547646636</v>
      </c>
      <c r="AZ5" s="374">
        <f t="shared" si="19"/>
        <v>0.28480011939479255</v>
      </c>
      <c r="BA5" s="374">
        <f t="shared" si="20"/>
        <v>0.23178388421546872</v>
      </c>
      <c r="BB5" s="374">
        <f t="shared" si="21"/>
        <v>0.28518727371828351</v>
      </c>
      <c r="BC5" s="374">
        <f t="shared" si="22"/>
        <v>0.16064474799042328</v>
      </c>
      <c r="BD5" s="374">
        <f t="shared" si="23"/>
        <v>0.12084545461604768</v>
      </c>
      <c r="BE5" s="374">
        <f t="shared" si="24"/>
        <v>0.23325184572644642</v>
      </c>
      <c r="BF5" s="378">
        <f t="shared" si="25"/>
        <v>0.28283733245109538</v>
      </c>
      <c r="BG5" s="375">
        <f t="shared" si="26"/>
        <v>0.22756301703134885</v>
      </c>
      <c r="BH5" s="376">
        <f t="shared" si="27"/>
        <v>0.25960119944602811</v>
      </c>
      <c r="BI5" s="375">
        <f t="shared" si="28"/>
        <v>0.20299650098901545</v>
      </c>
      <c r="BJ5" s="376">
        <f t="shared" si="29"/>
        <v>0.24630080495508894</v>
      </c>
      <c r="BK5" s="374">
        <f t="shared" si="30"/>
        <v>0.27434111022362462</v>
      </c>
      <c r="BL5" s="374">
        <f t="shared" si="31"/>
        <v>0.2122945128066307</v>
      </c>
      <c r="BM5" s="377">
        <f t="shared" si="32"/>
        <v>0.19645509379872383</v>
      </c>
    </row>
    <row r="6" spans="1:65" s="387" customFormat="1" x14ac:dyDescent="0.2">
      <c r="A6" s="370" t="s">
        <v>313</v>
      </c>
      <c r="B6" s="332" t="s">
        <v>310</v>
      </c>
      <c r="C6" s="333">
        <v>5280469.6599999201</v>
      </c>
      <c r="D6" s="333">
        <v>5228202.1400003899</v>
      </c>
      <c r="E6" s="333">
        <v>5686460.73000025</v>
      </c>
      <c r="F6" s="333">
        <v>4949084.2900002804</v>
      </c>
      <c r="G6" s="333">
        <v>4623575.5200004093</v>
      </c>
      <c r="H6" s="333">
        <v>4963729.4800004596</v>
      </c>
      <c r="I6" s="333">
        <v>5789922.8300003801</v>
      </c>
      <c r="J6" s="333">
        <v>7084063.2600004496</v>
      </c>
      <c r="K6" s="333">
        <v>5517952.3700004602</v>
      </c>
      <c r="L6" s="333">
        <v>6676835.0200004</v>
      </c>
      <c r="M6" s="333">
        <v>5965314.6100003198</v>
      </c>
      <c r="N6" s="333">
        <v>7951606.3499999996</v>
      </c>
      <c r="O6" s="334">
        <f t="shared" si="0"/>
        <v>69717216.260003716</v>
      </c>
      <c r="P6" s="335">
        <f t="shared" si="1"/>
        <v>30731521.82000171</v>
      </c>
      <c r="Q6" s="334">
        <f t="shared" si="2"/>
        <v>38985694.440002009</v>
      </c>
      <c r="R6" s="335">
        <f t="shared" si="3"/>
        <v>16195132.53000056</v>
      </c>
      <c r="S6" s="333">
        <f t="shared" si="4"/>
        <v>14536389.29000115</v>
      </c>
      <c r="T6" s="333">
        <f t="shared" si="5"/>
        <v>18391938.46000129</v>
      </c>
      <c r="U6" s="336">
        <f t="shared" si="6"/>
        <v>20593755.980000719</v>
      </c>
      <c r="V6" s="394">
        <v>0.87837454948301563</v>
      </c>
      <c r="W6" s="370" t="s">
        <v>313</v>
      </c>
      <c r="X6" s="332" t="s">
        <v>310</v>
      </c>
      <c r="Y6" s="333">
        <v>573137.28</v>
      </c>
      <c r="Z6" s="333">
        <v>613994.72999999905</v>
      </c>
      <c r="AA6" s="333">
        <v>694290.25999999605</v>
      </c>
      <c r="AB6" s="333">
        <v>571341.17999999807</v>
      </c>
      <c r="AC6" s="333">
        <v>565277.799999999</v>
      </c>
      <c r="AD6" s="333">
        <v>628136.95999999903</v>
      </c>
      <c r="AE6" s="333">
        <v>728343.64999999595</v>
      </c>
      <c r="AF6" s="333">
        <v>803735.22999999893</v>
      </c>
      <c r="AG6" s="333">
        <v>605885.03999999398</v>
      </c>
      <c r="AH6" s="333">
        <v>791985.11999999697</v>
      </c>
      <c r="AI6" s="333">
        <v>680080.68000000203</v>
      </c>
      <c r="AJ6" s="333">
        <v>799188.63</v>
      </c>
      <c r="AK6" s="334">
        <f t="shared" si="7"/>
        <v>8055396.5599999791</v>
      </c>
      <c r="AL6" s="335">
        <f t="shared" si="8"/>
        <v>3646178.2099999911</v>
      </c>
      <c r="AM6" s="334">
        <f t="shared" si="9"/>
        <v>4409218.3499999875</v>
      </c>
      <c r="AN6" s="335">
        <f t="shared" si="10"/>
        <v>1881422.2699999951</v>
      </c>
      <c r="AO6" s="333">
        <f t="shared" si="11"/>
        <v>1764755.9399999962</v>
      </c>
      <c r="AP6" s="333">
        <f t="shared" si="12"/>
        <v>2137963.9199999887</v>
      </c>
      <c r="AQ6" s="336">
        <f t="shared" si="13"/>
        <v>2271254.4299999988</v>
      </c>
      <c r="AR6" s="394">
        <v>0.89709832093511599</v>
      </c>
      <c r="AS6" s="373">
        <v>1.1200000000000001</v>
      </c>
      <c r="AT6" s="332" t="s">
        <v>310</v>
      </c>
      <c r="AU6" s="378">
        <f t="shared" si="14"/>
        <v>0.12156376135678995</v>
      </c>
      <c r="AV6" s="378">
        <f t="shared" si="15"/>
        <v>0.13153165833789812</v>
      </c>
      <c r="AW6" s="378">
        <f t="shared" si="16"/>
        <v>0.13674676184741039</v>
      </c>
      <c r="AX6" s="378">
        <f t="shared" si="17"/>
        <v>0.12929707479279196</v>
      </c>
      <c r="AY6" s="378">
        <f t="shared" si="18"/>
        <v>0.13693106844720529</v>
      </c>
      <c r="AZ6" s="378">
        <f t="shared" si="19"/>
        <v>0.14173080906897728</v>
      </c>
      <c r="BA6" s="378">
        <f t="shared" si="20"/>
        <v>0.14089045950202103</v>
      </c>
      <c r="BB6" s="378">
        <f t="shared" si="21"/>
        <v>0.12707162888886198</v>
      </c>
      <c r="BC6" s="378">
        <f t="shared" si="22"/>
        <v>0.12297881520132381</v>
      </c>
      <c r="BD6" s="378">
        <f t="shared" si="23"/>
        <v>0.13285086897353704</v>
      </c>
      <c r="BE6" s="378">
        <f t="shared" si="24"/>
        <v>0.12768653648595435</v>
      </c>
      <c r="BF6" s="378">
        <f t="shared" si="25"/>
        <v>0.11256735132518225</v>
      </c>
      <c r="BG6" s="395">
        <f t="shared" si="26"/>
        <v>0.12940912777631744</v>
      </c>
      <c r="BH6" s="396">
        <f t="shared" si="27"/>
        <v>0.13288374129725292</v>
      </c>
      <c r="BI6" s="395">
        <f t="shared" si="28"/>
        <v>0.12667017024924213</v>
      </c>
      <c r="BJ6" s="396">
        <f t="shared" si="29"/>
        <v>0.13011273223584557</v>
      </c>
      <c r="BK6" s="378">
        <f t="shared" si="30"/>
        <v>0.13597094941310831</v>
      </c>
      <c r="BL6" s="378">
        <f t="shared" si="31"/>
        <v>0.13019397577952854</v>
      </c>
      <c r="BM6" s="397">
        <f t="shared" si="32"/>
        <v>0.12352311856420811</v>
      </c>
    </row>
    <row r="7" spans="1:65" s="387" customFormat="1" x14ac:dyDescent="0.2">
      <c r="A7" s="370" t="s">
        <v>313</v>
      </c>
      <c r="B7" s="332" t="s">
        <v>311</v>
      </c>
      <c r="C7" s="333">
        <v>2871360.37</v>
      </c>
      <c r="D7" s="333">
        <v>3366411.75</v>
      </c>
      <c r="E7" s="333">
        <v>3379447.82</v>
      </c>
      <c r="F7" s="333">
        <v>2675906.4</v>
      </c>
      <c r="G7" s="333">
        <v>2563448.3199999998</v>
      </c>
      <c r="H7" s="333">
        <v>3021255.92</v>
      </c>
      <c r="I7" s="333">
        <v>3773570.97</v>
      </c>
      <c r="J7" s="333">
        <v>5072869.97</v>
      </c>
      <c r="K7" s="333">
        <v>3530388.44</v>
      </c>
      <c r="L7" s="333">
        <v>4745655.6399999997</v>
      </c>
      <c r="M7" s="333">
        <v>3798862.16</v>
      </c>
      <c r="N7" s="333">
        <v>6133310.3499999996</v>
      </c>
      <c r="O7" s="334">
        <f t="shared" si="0"/>
        <v>44932488.109999992</v>
      </c>
      <c r="P7" s="335">
        <f t="shared" si="1"/>
        <v>17877830.579999998</v>
      </c>
      <c r="Q7" s="334">
        <f t="shared" si="2"/>
        <v>27054657.530000001</v>
      </c>
      <c r="R7" s="335">
        <f t="shared" si="3"/>
        <v>9617219.9399999995</v>
      </c>
      <c r="S7" s="333">
        <f t="shared" si="4"/>
        <v>8260610.6399999997</v>
      </c>
      <c r="T7" s="333">
        <f t="shared" si="5"/>
        <v>12376829.379999999</v>
      </c>
      <c r="U7" s="336">
        <f t="shared" si="6"/>
        <v>14677828.15</v>
      </c>
      <c r="V7" s="371">
        <v>0.85024824383205078</v>
      </c>
      <c r="W7" s="370" t="s">
        <v>313</v>
      </c>
      <c r="X7" s="332" t="s">
        <v>311</v>
      </c>
      <c r="Y7" s="333">
        <v>300071.90000000002</v>
      </c>
      <c r="Z7" s="333">
        <v>384120.96</v>
      </c>
      <c r="AA7" s="333">
        <v>411329.62</v>
      </c>
      <c r="AB7" s="333">
        <v>328537.07</v>
      </c>
      <c r="AC7" s="333">
        <v>327206.24</v>
      </c>
      <c r="AD7" s="333">
        <v>401054.42</v>
      </c>
      <c r="AE7" s="333">
        <v>491893.96</v>
      </c>
      <c r="AF7" s="333">
        <v>570942.71</v>
      </c>
      <c r="AG7" s="333">
        <v>381189.1</v>
      </c>
      <c r="AH7" s="333">
        <v>568369.12</v>
      </c>
      <c r="AI7" s="333">
        <v>445359.18</v>
      </c>
      <c r="AJ7" s="333">
        <v>591029.63</v>
      </c>
      <c r="AK7" s="334">
        <f t="shared" si="7"/>
        <v>5201103.91</v>
      </c>
      <c r="AL7" s="335">
        <f t="shared" si="8"/>
        <v>2152320.21</v>
      </c>
      <c r="AM7" s="334">
        <f t="shared" si="9"/>
        <v>3048783.7</v>
      </c>
      <c r="AN7" s="335">
        <f t="shared" si="10"/>
        <v>1095522.48</v>
      </c>
      <c r="AO7" s="333">
        <f t="shared" si="11"/>
        <v>1056797.73</v>
      </c>
      <c r="AP7" s="333">
        <f t="shared" si="12"/>
        <v>1444025.77</v>
      </c>
      <c r="AQ7" s="336">
        <f t="shared" si="13"/>
        <v>1604757.9300000002</v>
      </c>
      <c r="AR7" s="371">
        <v>0.88615694771453279</v>
      </c>
      <c r="AS7" s="373">
        <v>1.1200000000000001</v>
      </c>
      <c r="AT7" s="332" t="s">
        <v>311</v>
      </c>
      <c r="AU7" s="374">
        <f t="shared" si="14"/>
        <v>0.11704574999062205</v>
      </c>
      <c r="AV7" s="374">
        <f t="shared" si="15"/>
        <v>0.12779645128080366</v>
      </c>
      <c r="AW7" s="374">
        <f t="shared" si="16"/>
        <v>0.13632084261623548</v>
      </c>
      <c r="AX7" s="374">
        <f t="shared" si="17"/>
        <v>0.13750911407065661</v>
      </c>
      <c r="AY7" s="374">
        <f t="shared" si="18"/>
        <v>0.14296016266089581</v>
      </c>
      <c r="AZ7" s="374">
        <f t="shared" si="19"/>
        <v>0.14867358552002441</v>
      </c>
      <c r="BA7" s="374">
        <f t="shared" si="20"/>
        <v>0.14599466647900358</v>
      </c>
      <c r="BB7" s="374">
        <f t="shared" si="21"/>
        <v>0.12605405598440758</v>
      </c>
      <c r="BC7" s="374">
        <f t="shared" si="22"/>
        <v>0.12093054326905739</v>
      </c>
      <c r="BD7" s="374">
        <f t="shared" si="23"/>
        <v>0.13413813868719729</v>
      </c>
      <c r="BE7" s="374">
        <f t="shared" si="24"/>
        <v>0.13130307460273843</v>
      </c>
      <c r="BF7" s="378">
        <f t="shared" si="25"/>
        <v>0.10792755426113405</v>
      </c>
      <c r="BG7" s="375">
        <f t="shared" si="26"/>
        <v>0.1296441978672345</v>
      </c>
      <c r="BH7" s="376">
        <f t="shared" si="27"/>
        <v>0.13483731286148035</v>
      </c>
      <c r="BI7" s="375">
        <f t="shared" si="28"/>
        <v>0.12621256581102988</v>
      </c>
      <c r="BJ7" s="376">
        <f t="shared" si="29"/>
        <v>0.12758210639404385</v>
      </c>
      <c r="BK7" s="374">
        <f t="shared" si="30"/>
        <v>0.14328401484856815</v>
      </c>
      <c r="BL7" s="374">
        <f t="shared" si="31"/>
        <v>0.13067230812872371</v>
      </c>
      <c r="BM7" s="377">
        <f t="shared" si="32"/>
        <v>0.12245196382136415</v>
      </c>
    </row>
    <row r="8" spans="1:65" s="387" customFormat="1" x14ac:dyDescent="0.2">
      <c r="A8" s="370" t="s">
        <v>313</v>
      </c>
      <c r="B8" s="337" t="s">
        <v>312</v>
      </c>
      <c r="C8" s="338">
        <v>2409109.2899999199</v>
      </c>
      <c r="D8" s="338">
        <v>1861790.3900003899</v>
      </c>
      <c r="E8" s="338">
        <v>2307012.9100002502</v>
      </c>
      <c r="F8" s="338">
        <v>2273177.89000028</v>
      </c>
      <c r="G8" s="338">
        <v>2060127.20000041</v>
      </c>
      <c r="H8" s="338">
        <v>1942473.5600004599</v>
      </c>
      <c r="I8" s="338">
        <v>2016351.8600003801</v>
      </c>
      <c r="J8" s="338">
        <v>2011193.2900004501</v>
      </c>
      <c r="K8" s="338">
        <v>1987563.93000046</v>
      </c>
      <c r="L8" s="338">
        <v>1931179.3800003999</v>
      </c>
      <c r="M8" s="338">
        <v>2166452.4500003201</v>
      </c>
      <c r="N8" s="338">
        <v>1818296</v>
      </c>
      <c r="O8" s="339">
        <f t="shared" si="0"/>
        <v>24784728.150003724</v>
      </c>
      <c r="P8" s="340">
        <f t="shared" si="1"/>
        <v>12853691.240001712</v>
      </c>
      <c r="Q8" s="339">
        <f t="shared" si="2"/>
        <v>11931036.91000201</v>
      </c>
      <c r="R8" s="340">
        <f t="shared" si="3"/>
        <v>6577912.5900005605</v>
      </c>
      <c r="S8" s="338">
        <f t="shared" si="4"/>
        <v>6275778.6500011496</v>
      </c>
      <c r="T8" s="338">
        <f t="shared" si="5"/>
        <v>6015109.08000129</v>
      </c>
      <c r="U8" s="341">
        <f t="shared" si="6"/>
        <v>5915927.83000072</v>
      </c>
      <c r="V8" s="371">
        <v>0.90245668160869952</v>
      </c>
      <c r="W8" s="370" t="s">
        <v>313</v>
      </c>
      <c r="X8" s="337" t="s">
        <v>312</v>
      </c>
      <c r="Y8" s="338">
        <v>273065.38</v>
      </c>
      <c r="Z8" s="338">
        <v>229873.769999999</v>
      </c>
      <c r="AA8" s="338">
        <v>282960.639999996</v>
      </c>
      <c r="AB8" s="338">
        <v>242804.10999999801</v>
      </c>
      <c r="AC8" s="338">
        <v>238071.55999999901</v>
      </c>
      <c r="AD8" s="338">
        <v>227082.53999999899</v>
      </c>
      <c r="AE8" s="338">
        <v>236449.68999999599</v>
      </c>
      <c r="AF8" s="338">
        <v>232792.519999999</v>
      </c>
      <c r="AG8" s="338">
        <v>224695.93999999401</v>
      </c>
      <c r="AH8" s="338">
        <v>223615.999999997</v>
      </c>
      <c r="AI8" s="338">
        <v>234721.50000000201</v>
      </c>
      <c r="AJ8" s="338">
        <v>208159</v>
      </c>
      <c r="AK8" s="339">
        <f t="shared" si="7"/>
        <v>2854292.6499999794</v>
      </c>
      <c r="AL8" s="340">
        <f t="shared" si="8"/>
        <v>1493857.9999999912</v>
      </c>
      <c r="AM8" s="339">
        <f t="shared" si="9"/>
        <v>1360434.649999988</v>
      </c>
      <c r="AN8" s="340">
        <f t="shared" si="10"/>
        <v>785899.78999999491</v>
      </c>
      <c r="AO8" s="338">
        <f t="shared" si="11"/>
        <v>707958.209999996</v>
      </c>
      <c r="AP8" s="338">
        <f t="shared" si="12"/>
        <v>693938.14999998896</v>
      </c>
      <c r="AQ8" s="341">
        <f t="shared" si="13"/>
        <v>666496.49999999907</v>
      </c>
      <c r="AR8" s="371">
        <v>0.90681515173738003</v>
      </c>
      <c r="AS8" s="373">
        <v>1.1200000000000001</v>
      </c>
      <c r="AT8" s="337" t="s">
        <v>312</v>
      </c>
      <c r="AU8" s="363">
        <f t="shared" si="14"/>
        <v>0.1269486722206821</v>
      </c>
      <c r="AV8" s="363">
        <f t="shared" si="15"/>
        <v>0.13828550398734468</v>
      </c>
      <c r="AW8" s="363">
        <f t="shared" si="16"/>
        <v>0.13737067331797512</v>
      </c>
      <c r="AX8" s="363">
        <f t="shared" si="17"/>
        <v>0.11963014614749939</v>
      </c>
      <c r="AY8" s="363">
        <f t="shared" si="18"/>
        <v>0.12942897273524948</v>
      </c>
      <c r="AZ8" s="363">
        <f t="shared" si="19"/>
        <v>0.13093225567504696</v>
      </c>
      <c r="BA8" s="363">
        <f t="shared" si="20"/>
        <v>0.13133801597502215</v>
      </c>
      <c r="BB8" s="363">
        <f t="shared" si="21"/>
        <v>0.12963827181421264</v>
      </c>
      <c r="BC8" s="363">
        <f t="shared" si="22"/>
        <v>0.12661703555866757</v>
      </c>
      <c r="BD8" s="363">
        <f t="shared" si="23"/>
        <v>0.12968754875579958</v>
      </c>
      <c r="BE8" s="363">
        <f t="shared" si="24"/>
        <v>0.12134495728256738</v>
      </c>
      <c r="BF8" s="363">
        <f t="shared" si="25"/>
        <v>0.12821789191638766</v>
      </c>
      <c r="BG8" s="364">
        <f t="shared" si="26"/>
        <v>0.12898296679519952</v>
      </c>
      <c r="BH8" s="365">
        <f t="shared" si="27"/>
        <v>0.13016657462512438</v>
      </c>
      <c r="BI8" s="364">
        <f t="shared" si="28"/>
        <v>0.12770782786889642</v>
      </c>
      <c r="BJ8" s="365">
        <f t="shared" si="29"/>
        <v>0.13381262714528097</v>
      </c>
      <c r="BK8" s="363">
        <f t="shared" si="30"/>
        <v>0.12634499070483476</v>
      </c>
      <c r="BL8" s="363">
        <f t="shared" si="31"/>
        <v>0.12920974793026047</v>
      </c>
      <c r="BM8" s="366">
        <f t="shared" si="32"/>
        <v>0.12618072793492954</v>
      </c>
    </row>
    <row r="9" spans="1:65" s="388" customFormat="1" x14ac:dyDescent="0.2">
      <c r="B9" s="342" t="s">
        <v>300</v>
      </c>
      <c r="C9" s="351">
        <f t="shared" ref="C9:N9" si="33">C4+C8</f>
        <v>110222402.18999992</v>
      </c>
      <c r="D9" s="351">
        <f t="shared" si="33"/>
        <v>83609413.390000388</v>
      </c>
      <c r="E9" s="351">
        <f t="shared" si="33"/>
        <v>86799136.91000025</v>
      </c>
      <c r="F9" s="351">
        <f t="shared" si="33"/>
        <v>86919720.890000284</v>
      </c>
      <c r="G9" s="351">
        <f t="shared" si="33"/>
        <v>85535277.200000405</v>
      </c>
      <c r="H9" s="351">
        <f t="shared" si="33"/>
        <v>80433400.560000464</v>
      </c>
      <c r="I9" s="351">
        <f t="shared" si="33"/>
        <v>82719753.860000387</v>
      </c>
      <c r="J9" s="351">
        <f t="shared" si="33"/>
        <v>76924778.290000454</v>
      </c>
      <c r="K9" s="351">
        <f t="shared" si="33"/>
        <v>85138540.930000454</v>
      </c>
      <c r="L9" s="351">
        <f t="shared" si="33"/>
        <v>92473955.380000398</v>
      </c>
      <c r="M9" s="351">
        <f t="shared" si="33"/>
        <v>91109594.450000316</v>
      </c>
      <c r="N9" s="351">
        <f t="shared" si="33"/>
        <v>84507816.399999991</v>
      </c>
      <c r="O9" s="352">
        <f t="shared" si="0"/>
        <v>1046393790.4500036</v>
      </c>
      <c r="P9" s="353">
        <f t="shared" si="1"/>
        <v>533519351.14000171</v>
      </c>
      <c r="Q9" s="352">
        <f t="shared" si="2"/>
        <v>512874439.31000197</v>
      </c>
      <c r="R9" s="353">
        <f t="shared" si="3"/>
        <v>280630952.49000055</v>
      </c>
      <c r="S9" s="351">
        <f t="shared" si="4"/>
        <v>252888398.65000117</v>
      </c>
      <c r="T9" s="351">
        <f t="shared" si="5"/>
        <v>244783073.08000129</v>
      </c>
      <c r="U9" s="354">
        <f t="shared" si="6"/>
        <v>268091366.23000067</v>
      </c>
      <c r="V9" s="389"/>
      <c r="W9" s="372"/>
      <c r="X9" s="342" t="s">
        <v>300</v>
      </c>
      <c r="Y9" s="351">
        <f>Y4+Y8</f>
        <v>26183689.379999995</v>
      </c>
      <c r="Z9" s="351">
        <f t="shared" ref="Z9:AJ9" si="34">Z4+Z8</f>
        <v>18907275.77</v>
      </c>
      <c r="AA9" s="351">
        <f t="shared" si="34"/>
        <v>21181039.092830185</v>
      </c>
      <c r="AB9" s="351">
        <f t="shared" si="34"/>
        <v>20419942.996792451</v>
      </c>
      <c r="AC9" s="351">
        <f t="shared" si="34"/>
        <v>19028404.050566036</v>
      </c>
      <c r="AD9" s="351">
        <f t="shared" si="34"/>
        <v>19346421.219245281</v>
      </c>
      <c r="AE9" s="351">
        <f t="shared" si="34"/>
        <v>18855792.086226411</v>
      </c>
      <c r="AF9" s="351">
        <f t="shared" si="34"/>
        <v>17898504.081320755</v>
      </c>
      <c r="AG9" s="351">
        <f t="shared" si="34"/>
        <v>18162052.84566037</v>
      </c>
      <c r="AH9" s="351">
        <f t="shared" si="34"/>
        <v>17715842.924528297</v>
      </c>
      <c r="AI9" s="351">
        <f t="shared" si="34"/>
        <v>21844195.981132079</v>
      </c>
      <c r="AJ9" s="351">
        <f t="shared" si="34"/>
        <v>22971147.858490568</v>
      </c>
      <c r="AK9" s="352">
        <f>SUM(Y9:AJ9)</f>
        <v>242514308.28679243</v>
      </c>
      <c r="AL9" s="353">
        <f t="shared" si="8"/>
        <v>125066772.50943394</v>
      </c>
      <c r="AM9" s="352">
        <f t="shared" si="9"/>
        <v>117447535.77735849</v>
      </c>
      <c r="AN9" s="353">
        <f t="shared" si="10"/>
        <v>66272004.242830172</v>
      </c>
      <c r="AO9" s="351">
        <f t="shared" si="11"/>
        <v>58794768.266603768</v>
      </c>
      <c r="AP9" s="351">
        <f t="shared" si="12"/>
        <v>54916349.01320754</v>
      </c>
      <c r="AQ9" s="354">
        <f t="shared" si="13"/>
        <v>62531186.764150947</v>
      </c>
      <c r="AS9" s="373">
        <v>1.1200000000000001</v>
      </c>
      <c r="AT9" s="342" t="s">
        <v>300</v>
      </c>
      <c r="AU9" s="355">
        <f t="shared" si="14"/>
        <v>0.26605963509168207</v>
      </c>
      <c r="AV9" s="355">
        <f t="shared" si="15"/>
        <v>0.25327469723561835</v>
      </c>
      <c r="AW9" s="355">
        <f t="shared" si="16"/>
        <v>0.27330644783446778</v>
      </c>
      <c r="AX9" s="355">
        <f t="shared" si="17"/>
        <v>0.26312022084551673</v>
      </c>
      <c r="AY9" s="355">
        <f t="shared" si="18"/>
        <v>0.24915816297411683</v>
      </c>
      <c r="AZ9" s="355">
        <f t="shared" si="19"/>
        <v>0.26939047230001378</v>
      </c>
      <c r="BA9" s="355">
        <f t="shared" si="20"/>
        <v>0.25530161963871062</v>
      </c>
      <c r="BB9" s="355">
        <f t="shared" si="21"/>
        <v>0.26059645561156064</v>
      </c>
      <c r="BC9" s="355">
        <f t="shared" si="22"/>
        <v>0.23892233722755563</v>
      </c>
      <c r="BD9" s="355">
        <f t="shared" si="23"/>
        <v>0.21456575523277471</v>
      </c>
      <c r="BE9" s="355">
        <f t="shared" si="24"/>
        <v>0.26852824498405881</v>
      </c>
      <c r="BF9" s="355">
        <f t="shared" si="25"/>
        <v>0.30444149071054971</v>
      </c>
      <c r="BG9" s="356">
        <f>AK9*$AS9/O9</f>
        <v>0.25957342996502164</v>
      </c>
      <c r="BH9" s="357">
        <f t="shared" si="27"/>
        <v>0.2625486496623976</v>
      </c>
      <c r="BI9" s="356">
        <f t="shared" si="28"/>
        <v>0.25647844772223616</v>
      </c>
      <c r="BJ9" s="357">
        <f t="shared" si="29"/>
        <v>0.26449201021264601</v>
      </c>
      <c r="BK9" s="355">
        <f t="shared" si="30"/>
        <v>0.26039209710736144</v>
      </c>
      <c r="BL9" s="355">
        <f t="shared" si="31"/>
        <v>0.2512686441953878</v>
      </c>
      <c r="BM9" s="358">
        <f t="shared" si="32"/>
        <v>0.26123530257876626</v>
      </c>
    </row>
    <row r="10" spans="1:65" ht="30" x14ac:dyDescent="0.2">
      <c r="A10" s="370" t="s">
        <v>314</v>
      </c>
      <c r="B10" s="320" t="s">
        <v>305</v>
      </c>
      <c r="C10" s="347">
        <f t="shared" ref="C10:N10" si="35">C4-C11-C7</f>
        <v>93066095.129999995</v>
      </c>
      <c r="D10" s="347">
        <f t="shared" si="35"/>
        <v>68875966.650000006</v>
      </c>
      <c r="E10" s="347">
        <f t="shared" si="35"/>
        <v>72664093.980000004</v>
      </c>
      <c r="F10" s="347">
        <f t="shared" si="35"/>
        <v>71559511.599999994</v>
      </c>
      <c r="G10" s="347">
        <f t="shared" si="35"/>
        <v>73159841.680000007</v>
      </c>
      <c r="H10" s="347">
        <f t="shared" si="35"/>
        <v>66716190.480000004</v>
      </c>
      <c r="I10" s="347">
        <f t="shared" si="35"/>
        <v>67862809.829999998</v>
      </c>
      <c r="J10" s="347">
        <f t="shared" si="35"/>
        <v>62344970.230000004</v>
      </c>
      <c r="K10" s="347">
        <f t="shared" si="35"/>
        <v>65620600.760000005</v>
      </c>
      <c r="L10" s="347">
        <f t="shared" si="35"/>
        <v>67768060.359999999</v>
      </c>
      <c r="M10" s="347">
        <f t="shared" si="35"/>
        <v>68363773.140000001</v>
      </c>
      <c r="N10" s="347">
        <f t="shared" si="35"/>
        <v>67923618.549999997</v>
      </c>
      <c r="O10" s="348">
        <f t="shared" si="0"/>
        <v>845925532.38999999</v>
      </c>
      <c r="P10" s="349">
        <f t="shared" si="1"/>
        <v>446041699.52000004</v>
      </c>
      <c r="Q10" s="348">
        <f t="shared" si="2"/>
        <v>399883832.87</v>
      </c>
      <c r="R10" s="349">
        <f t="shared" si="3"/>
        <v>234606155.75999999</v>
      </c>
      <c r="S10" s="347">
        <f t="shared" si="4"/>
        <v>211435543.75999999</v>
      </c>
      <c r="T10" s="347">
        <f t="shared" si="5"/>
        <v>195828380.81999999</v>
      </c>
      <c r="U10" s="350">
        <f t="shared" si="6"/>
        <v>204055452.05000001</v>
      </c>
      <c r="W10" s="370" t="s">
        <v>314</v>
      </c>
      <c r="X10" s="320" t="s">
        <v>305</v>
      </c>
      <c r="Y10" s="347">
        <f>Y4-Y11-Y7</f>
        <v>23060800.899999999</v>
      </c>
      <c r="Z10" s="347">
        <f t="shared" ref="Z10:AJ10" si="36">Z4-Z11-Z7</f>
        <v>16413199.239999998</v>
      </c>
      <c r="AA10" s="347">
        <f t="shared" si="36"/>
        <v>18356697.632830188</v>
      </c>
      <c r="AB10" s="347">
        <f t="shared" si="36"/>
        <v>17233521.416792452</v>
      </c>
      <c r="AC10" s="347">
        <f t="shared" si="36"/>
        <v>16710973.850566039</v>
      </c>
      <c r="AD10" s="347">
        <f t="shared" si="36"/>
        <v>16492398.259245282</v>
      </c>
      <c r="AE10" s="347">
        <f t="shared" si="36"/>
        <v>16251029.336226413</v>
      </c>
      <c r="AF10" s="347">
        <f t="shared" si="36"/>
        <v>15186116.151320755</v>
      </c>
      <c r="AG10" s="347">
        <f t="shared" si="36"/>
        <v>15548110.205660377</v>
      </c>
      <c r="AH10" s="347">
        <f t="shared" si="36"/>
        <v>14978563.204528302</v>
      </c>
      <c r="AI10" s="347">
        <f t="shared" si="36"/>
        <v>17669397.301132075</v>
      </c>
      <c r="AJ10" s="347">
        <f t="shared" si="36"/>
        <v>19991942.128490567</v>
      </c>
      <c r="AK10" s="348">
        <f t="shared" si="7"/>
        <v>207892749.62679246</v>
      </c>
      <c r="AL10" s="349">
        <f t="shared" si="8"/>
        <v>108267591.29943396</v>
      </c>
      <c r="AM10" s="348">
        <f t="shared" si="9"/>
        <v>99625158.327358484</v>
      </c>
      <c r="AN10" s="349">
        <f t="shared" si="10"/>
        <v>57830697.772830188</v>
      </c>
      <c r="AO10" s="347">
        <f t="shared" si="11"/>
        <v>50436893.526603773</v>
      </c>
      <c r="AP10" s="347">
        <f t="shared" si="12"/>
        <v>46985255.693207547</v>
      </c>
      <c r="AQ10" s="350">
        <f t="shared" si="13"/>
        <v>52639902.634150945</v>
      </c>
      <c r="AS10" s="373">
        <v>1.1200000000000001</v>
      </c>
      <c r="AT10" s="320" t="s">
        <v>305</v>
      </c>
      <c r="AU10" s="359">
        <f t="shared" si="14"/>
        <v>0.27752423663979725</v>
      </c>
      <c r="AV10" s="359">
        <f t="shared" si="15"/>
        <v>0.26689691692043932</v>
      </c>
      <c r="AW10" s="359">
        <f t="shared" si="16"/>
        <v>0.28293893479809423</v>
      </c>
      <c r="AX10" s="359">
        <f t="shared" si="17"/>
        <v>0.26972716212344228</v>
      </c>
      <c r="AY10" s="359">
        <f t="shared" si="18"/>
        <v>0.25582738129066385</v>
      </c>
      <c r="AZ10" s="359">
        <f t="shared" si="19"/>
        <v>0.27686661839440685</v>
      </c>
      <c r="BA10" s="359">
        <f t="shared" si="20"/>
        <v>0.2682051170909141</v>
      </c>
      <c r="BB10" s="359">
        <f t="shared" si="21"/>
        <v>0.27281190490159046</v>
      </c>
      <c r="BC10" s="359">
        <f t="shared" si="22"/>
        <v>0.26537220367775893</v>
      </c>
      <c r="BD10" s="359">
        <f t="shared" si="23"/>
        <v>0.24755010988884232</v>
      </c>
      <c r="BE10" s="359">
        <f t="shared" si="24"/>
        <v>0.28947678087839263</v>
      </c>
      <c r="BF10" s="359">
        <f t="shared" si="25"/>
        <v>0.32964932761093951</v>
      </c>
      <c r="BG10" s="479">
        <f t="shared" si="26"/>
        <v>0.27524867221369154</v>
      </c>
      <c r="BH10" s="361">
        <f t="shared" si="27"/>
        <v>0.27185732272533608</v>
      </c>
      <c r="BI10" s="360">
        <f t="shared" si="28"/>
        <v>0.27903147903185077</v>
      </c>
      <c r="BJ10" s="361">
        <f t="shared" si="29"/>
        <v>0.27608133851282801</v>
      </c>
      <c r="BK10" s="359">
        <f t="shared" si="30"/>
        <v>0.26717040921897756</v>
      </c>
      <c r="BL10" s="359">
        <f t="shared" si="31"/>
        <v>0.26872247095155483</v>
      </c>
      <c r="BM10" s="362">
        <f t="shared" si="32"/>
        <v>0.2889248503676482</v>
      </c>
    </row>
    <row r="11" spans="1:65" x14ac:dyDescent="0.2">
      <c r="A11" s="370" t="s">
        <v>314</v>
      </c>
      <c r="B11" s="321" t="s">
        <v>274</v>
      </c>
      <c r="C11" s="338">
        <f t="shared" ref="C11:N11" si="37">C5</f>
        <v>11875837.4</v>
      </c>
      <c r="D11" s="338">
        <f t="shared" si="37"/>
        <v>9505244.5999999996</v>
      </c>
      <c r="E11" s="338">
        <f t="shared" si="37"/>
        <v>8448582.2000000011</v>
      </c>
      <c r="F11" s="338">
        <f t="shared" si="37"/>
        <v>10411125</v>
      </c>
      <c r="G11" s="338">
        <f t="shared" si="37"/>
        <v>7751860</v>
      </c>
      <c r="H11" s="338">
        <f t="shared" si="37"/>
        <v>8753480.5999999996</v>
      </c>
      <c r="I11" s="338">
        <f t="shared" si="37"/>
        <v>9067021.2000000011</v>
      </c>
      <c r="J11" s="338">
        <f t="shared" si="37"/>
        <v>7495744.7999999998</v>
      </c>
      <c r="K11" s="338">
        <f t="shared" si="37"/>
        <v>13999987.799999999</v>
      </c>
      <c r="L11" s="338">
        <f t="shared" si="37"/>
        <v>18029060</v>
      </c>
      <c r="M11" s="338">
        <f t="shared" si="37"/>
        <v>16780506.699999999</v>
      </c>
      <c r="N11" s="338">
        <f t="shared" si="37"/>
        <v>8632591.5</v>
      </c>
      <c r="O11" s="339">
        <f t="shared" si="0"/>
        <v>130751041.80000001</v>
      </c>
      <c r="P11" s="340">
        <f t="shared" si="1"/>
        <v>56746129.800000004</v>
      </c>
      <c r="Q11" s="339">
        <f t="shared" si="2"/>
        <v>74004912</v>
      </c>
      <c r="R11" s="340">
        <f t="shared" si="3"/>
        <v>29829664.200000003</v>
      </c>
      <c r="S11" s="338">
        <f t="shared" si="4"/>
        <v>26916465.600000001</v>
      </c>
      <c r="T11" s="338">
        <f t="shared" si="5"/>
        <v>30562753.799999997</v>
      </c>
      <c r="U11" s="341">
        <f t="shared" si="6"/>
        <v>43442158.200000003</v>
      </c>
      <c r="W11" s="370" t="s">
        <v>314</v>
      </c>
      <c r="X11" s="321" t="s">
        <v>274</v>
      </c>
      <c r="Y11" s="338">
        <f>Y5</f>
        <v>2549751.2000000002</v>
      </c>
      <c r="Z11" s="338">
        <f t="shared" ref="Z11:AJ11" si="38">Z5</f>
        <v>1880081.8</v>
      </c>
      <c r="AA11" s="338">
        <f t="shared" si="38"/>
        <v>2130051.1999999997</v>
      </c>
      <c r="AB11" s="338">
        <f t="shared" si="38"/>
        <v>2615080.4</v>
      </c>
      <c r="AC11" s="338">
        <f t="shared" si="38"/>
        <v>1752152.4000000001</v>
      </c>
      <c r="AD11" s="338">
        <f t="shared" si="38"/>
        <v>2225886</v>
      </c>
      <c r="AE11" s="338">
        <f t="shared" si="38"/>
        <v>1876419.1</v>
      </c>
      <c r="AF11" s="338">
        <f t="shared" si="38"/>
        <v>1908652.7</v>
      </c>
      <c r="AG11" s="338">
        <f t="shared" si="38"/>
        <v>2008057.5999999999</v>
      </c>
      <c r="AH11" s="338">
        <f t="shared" si="38"/>
        <v>1945294.6</v>
      </c>
      <c r="AI11" s="338">
        <f t="shared" si="38"/>
        <v>3494718</v>
      </c>
      <c r="AJ11" s="338">
        <f t="shared" si="38"/>
        <v>2180017.1</v>
      </c>
      <c r="AK11" s="339">
        <f t="shared" si="7"/>
        <v>26566162.100000005</v>
      </c>
      <c r="AL11" s="340">
        <f t="shared" si="8"/>
        <v>13153003</v>
      </c>
      <c r="AM11" s="339">
        <f t="shared" si="9"/>
        <v>13413159.1</v>
      </c>
      <c r="AN11" s="340">
        <f t="shared" si="10"/>
        <v>6559884.1999999993</v>
      </c>
      <c r="AO11" s="338">
        <f t="shared" si="11"/>
        <v>6593118.7999999998</v>
      </c>
      <c r="AP11" s="338">
        <f t="shared" si="12"/>
        <v>5793129.3999999994</v>
      </c>
      <c r="AQ11" s="341">
        <f t="shared" si="13"/>
        <v>7620029.6999999993</v>
      </c>
      <c r="AS11" s="373">
        <v>1.1200000000000001</v>
      </c>
      <c r="AT11" s="321" t="s">
        <v>274</v>
      </c>
      <c r="AU11" s="363">
        <f t="shared" si="14"/>
        <v>0.24046484031517645</v>
      </c>
      <c r="AV11" s="363">
        <f t="shared" si="15"/>
        <v>0.22152945080445383</v>
      </c>
      <c r="AW11" s="363">
        <f t="shared" si="16"/>
        <v>0.28237369152897629</v>
      </c>
      <c r="AX11" s="363">
        <f t="shared" si="17"/>
        <v>0.28132310850172293</v>
      </c>
      <c r="AY11" s="363">
        <f t="shared" si="18"/>
        <v>0.25315352547646636</v>
      </c>
      <c r="AZ11" s="363">
        <f t="shared" si="19"/>
        <v>0.28480011939479255</v>
      </c>
      <c r="BA11" s="363">
        <f t="shared" si="20"/>
        <v>0.23178388421546872</v>
      </c>
      <c r="BB11" s="363">
        <f t="shared" si="21"/>
        <v>0.28518727371828351</v>
      </c>
      <c r="BC11" s="363">
        <f t="shared" si="22"/>
        <v>0.16064474799042328</v>
      </c>
      <c r="BD11" s="363">
        <f t="shared" si="23"/>
        <v>0.12084545461604768</v>
      </c>
      <c r="BE11" s="363">
        <f t="shared" si="24"/>
        <v>0.23325184572644642</v>
      </c>
      <c r="BF11" s="363">
        <f t="shared" si="25"/>
        <v>0.28283733245109538</v>
      </c>
      <c r="BG11" s="480">
        <f t="shared" si="26"/>
        <v>0.22756301703134885</v>
      </c>
      <c r="BH11" s="365">
        <f t="shared" si="27"/>
        <v>0.25960119944602811</v>
      </c>
      <c r="BI11" s="364">
        <f t="shared" si="28"/>
        <v>0.20299650098901545</v>
      </c>
      <c r="BJ11" s="365">
        <f t="shared" si="29"/>
        <v>0.24630080495508894</v>
      </c>
      <c r="BK11" s="363">
        <f t="shared" si="30"/>
        <v>0.27434111022362462</v>
      </c>
      <c r="BL11" s="363">
        <f t="shared" si="31"/>
        <v>0.2122945128066307</v>
      </c>
      <c r="BM11" s="366">
        <f t="shared" si="32"/>
        <v>0.19645509379872383</v>
      </c>
    </row>
    <row r="12" spans="1:65" x14ac:dyDescent="0.2">
      <c r="A12" s="370" t="s">
        <v>314</v>
      </c>
      <c r="B12" s="343" t="s">
        <v>298</v>
      </c>
      <c r="C12" s="302">
        <f t="shared" ref="C12:N12" si="39">C6</f>
        <v>5280469.6599999201</v>
      </c>
      <c r="D12" s="302">
        <f t="shared" si="39"/>
        <v>5228202.1400003899</v>
      </c>
      <c r="E12" s="302">
        <f t="shared" si="39"/>
        <v>5686460.73000025</v>
      </c>
      <c r="F12" s="302">
        <f t="shared" si="39"/>
        <v>4949084.2900002804</v>
      </c>
      <c r="G12" s="302">
        <f t="shared" si="39"/>
        <v>4623575.5200004093</v>
      </c>
      <c r="H12" s="302">
        <f t="shared" si="39"/>
        <v>4963729.4800004596</v>
      </c>
      <c r="I12" s="302">
        <f t="shared" si="39"/>
        <v>5789922.8300003801</v>
      </c>
      <c r="J12" s="302">
        <f t="shared" si="39"/>
        <v>7084063.2600004496</v>
      </c>
      <c r="K12" s="302">
        <f t="shared" si="39"/>
        <v>5517952.3700004602</v>
      </c>
      <c r="L12" s="302">
        <f t="shared" si="39"/>
        <v>6676835.0200004</v>
      </c>
      <c r="M12" s="302">
        <f t="shared" si="39"/>
        <v>5965314.6100003198</v>
      </c>
      <c r="N12" s="302">
        <f t="shared" si="39"/>
        <v>7951606.3499999996</v>
      </c>
      <c r="O12" s="344">
        <f t="shared" si="0"/>
        <v>69717216.260003716</v>
      </c>
      <c r="P12" s="345">
        <f t="shared" si="1"/>
        <v>30731521.82000171</v>
      </c>
      <c r="Q12" s="344">
        <f t="shared" si="2"/>
        <v>38985694.440002009</v>
      </c>
      <c r="R12" s="345">
        <f t="shared" si="3"/>
        <v>16195132.53000056</v>
      </c>
      <c r="S12" s="302">
        <f t="shared" si="4"/>
        <v>14536389.29000115</v>
      </c>
      <c r="T12" s="302">
        <f t="shared" si="5"/>
        <v>18391938.46000129</v>
      </c>
      <c r="U12" s="346">
        <f t="shared" si="6"/>
        <v>20593755.980000719</v>
      </c>
      <c r="W12" s="370" t="s">
        <v>314</v>
      </c>
      <c r="X12" s="343" t="s">
        <v>298</v>
      </c>
      <c r="Y12" s="302">
        <f t="shared" ref="Y12:AJ12" si="40">Y6</f>
        <v>573137.28</v>
      </c>
      <c r="Z12" s="302">
        <f t="shared" si="40"/>
        <v>613994.72999999905</v>
      </c>
      <c r="AA12" s="302">
        <f t="shared" si="40"/>
        <v>694290.25999999605</v>
      </c>
      <c r="AB12" s="302">
        <f t="shared" si="40"/>
        <v>571341.17999999807</v>
      </c>
      <c r="AC12" s="302">
        <f t="shared" si="40"/>
        <v>565277.799999999</v>
      </c>
      <c r="AD12" s="302">
        <f t="shared" si="40"/>
        <v>628136.95999999903</v>
      </c>
      <c r="AE12" s="302">
        <f t="shared" si="40"/>
        <v>728343.64999999595</v>
      </c>
      <c r="AF12" s="302">
        <f t="shared" si="40"/>
        <v>803735.22999999893</v>
      </c>
      <c r="AG12" s="302">
        <f t="shared" si="40"/>
        <v>605885.03999999398</v>
      </c>
      <c r="AH12" s="302">
        <f t="shared" si="40"/>
        <v>791985.11999999697</v>
      </c>
      <c r="AI12" s="302">
        <f t="shared" si="40"/>
        <v>680080.68000000203</v>
      </c>
      <c r="AJ12" s="302">
        <f t="shared" si="40"/>
        <v>799188.63</v>
      </c>
      <c r="AK12" s="344">
        <f t="shared" si="7"/>
        <v>8055396.5599999791</v>
      </c>
      <c r="AL12" s="345">
        <f t="shared" si="8"/>
        <v>3646178.2099999911</v>
      </c>
      <c r="AM12" s="344">
        <f t="shared" si="9"/>
        <v>4409218.3499999875</v>
      </c>
      <c r="AN12" s="345">
        <f t="shared" si="10"/>
        <v>1881422.2699999951</v>
      </c>
      <c r="AO12" s="302">
        <f t="shared" si="11"/>
        <v>1764755.9399999962</v>
      </c>
      <c r="AP12" s="302">
        <f t="shared" si="12"/>
        <v>2137963.9199999887</v>
      </c>
      <c r="AQ12" s="346">
        <f t="shared" si="13"/>
        <v>2271254.4299999988</v>
      </c>
      <c r="AS12" s="373">
        <v>1.1200000000000001</v>
      </c>
      <c r="AT12" s="343" t="s">
        <v>298</v>
      </c>
      <c r="AU12" s="316">
        <f t="shared" si="14"/>
        <v>0.12156376135678995</v>
      </c>
      <c r="AV12" s="316">
        <f t="shared" si="15"/>
        <v>0.13153165833789812</v>
      </c>
      <c r="AW12" s="316">
        <f t="shared" si="16"/>
        <v>0.13674676184741039</v>
      </c>
      <c r="AX12" s="316">
        <f t="shared" si="17"/>
        <v>0.12929707479279196</v>
      </c>
      <c r="AY12" s="316">
        <f t="shared" si="18"/>
        <v>0.13693106844720529</v>
      </c>
      <c r="AZ12" s="316">
        <f t="shared" si="19"/>
        <v>0.14173080906897728</v>
      </c>
      <c r="BA12" s="316">
        <f t="shared" si="20"/>
        <v>0.14089045950202103</v>
      </c>
      <c r="BB12" s="316">
        <f t="shared" si="21"/>
        <v>0.12707162888886198</v>
      </c>
      <c r="BC12" s="316">
        <f t="shared" si="22"/>
        <v>0.12297881520132381</v>
      </c>
      <c r="BD12" s="316">
        <f t="shared" si="23"/>
        <v>0.13285086897353704</v>
      </c>
      <c r="BE12" s="316">
        <f t="shared" si="24"/>
        <v>0.12768653648595435</v>
      </c>
      <c r="BF12" s="316">
        <f t="shared" si="25"/>
        <v>0.11256735132518225</v>
      </c>
      <c r="BG12" s="481">
        <f t="shared" si="26"/>
        <v>0.12940912777631744</v>
      </c>
      <c r="BH12" s="368">
        <f t="shared" si="27"/>
        <v>0.13288374129725292</v>
      </c>
      <c r="BI12" s="367">
        <f t="shared" si="28"/>
        <v>0.12667017024924213</v>
      </c>
      <c r="BJ12" s="368">
        <f t="shared" si="29"/>
        <v>0.13011273223584557</v>
      </c>
      <c r="BK12" s="316">
        <f t="shared" si="30"/>
        <v>0.13597094941310831</v>
      </c>
      <c r="BL12" s="316">
        <f t="shared" si="31"/>
        <v>0.13019397577952854</v>
      </c>
      <c r="BM12" s="369">
        <f t="shared" si="32"/>
        <v>0.12352311856420811</v>
      </c>
    </row>
    <row r="13" spans="1:65" s="74" customFormat="1" ht="15" x14ac:dyDescent="0.2">
      <c r="B13" s="74" t="s">
        <v>315</v>
      </c>
      <c r="C13" s="74" t="b">
        <f t="shared" ref="C13:U13" si="41">SUM(C10:C12)=C9</f>
        <v>1</v>
      </c>
      <c r="D13" s="74" t="b">
        <f t="shared" si="41"/>
        <v>1</v>
      </c>
      <c r="E13" s="74" t="b">
        <f t="shared" si="41"/>
        <v>0</v>
      </c>
      <c r="F13" s="74" t="b">
        <f t="shared" si="41"/>
        <v>1</v>
      </c>
      <c r="G13" s="74" t="b">
        <f t="shared" si="41"/>
        <v>1</v>
      </c>
      <c r="H13" s="74" t="b">
        <f t="shared" si="41"/>
        <v>1</v>
      </c>
      <c r="I13" s="74" t="b">
        <f t="shared" si="41"/>
        <v>1</v>
      </c>
      <c r="J13" s="74" t="b">
        <f t="shared" si="41"/>
        <v>1</v>
      </c>
      <c r="K13" s="74" t="b">
        <f t="shared" si="41"/>
        <v>1</v>
      </c>
      <c r="L13" s="74" t="b">
        <f t="shared" si="41"/>
        <v>1</v>
      </c>
      <c r="M13" s="74" t="b">
        <f t="shared" si="41"/>
        <v>1</v>
      </c>
      <c r="N13" s="74" t="b">
        <f t="shared" si="41"/>
        <v>1</v>
      </c>
      <c r="O13" s="74" t="b">
        <f t="shared" si="41"/>
        <v>1</v>
      </c>
      <c r="P13" s="74" t="b">
        <f t="shared" si="41"/>
        <v>1</v>
      </c>
      <c r="Q13" s="74" t="b">
        <f t="shared" si="41"/>
        <v>1</v>
      </c>
      <c r="R13" s="74" t="b">
        <f t="shared" si="41"/>
        <v>1</v>
      </c>
      <c r="S13" s="74" t="b">
        <f t="shared" si="41"/>
        <v>1</v>
      </c>
      <c r="T13" s="74" t="b">
        <f t="shared" si="41"/>
        <v>1</v>
      </c>
      <c r="U13" s="74" t="b">
        <f t="shared" si="41"/>
        <v>1</v>
      </c>
      <c r="X13" s="74" t="s">
        <v>315</v>
      </c>
      <c r="Y13" s="74" t="b">
        <f>SUM(Y10:Y12)=Y9</f>
        <v>1</v>
      </c>
      <c r="Z13" s="74" t="b">
        <f t="shared" ref="Z13" si="42">SUM(Z10:Z12)=Z9</f>
        <v>1</v>
      </c>
      <c r="AA13" s="74" t="b">
        <f t="shared" ref="AA13" si="43">SUM(AA10:AA12)=AA9</f>
        <v>1</v>
      </c>
      <c r="AB13" s="74" t="b">
        <f t="shared" ref="AB13" si="44">SUM(AB10:AB12)=AB9</f>
        <v>1</v>
      </c>
      <c r="AC13" s="74" t="b">
        <f t="shared" ref="AC13" si="45">SUM(AC10:AC12)=AC9</f>
        <v>1</v>
      </c>
      <c r="AD13" s="74" t="b">
        <f t="shared" ref="AD13" si="46">SUM(AD10:AD12)=AD9</f>
        <v>1</v>
      </c>
      <c r="AE13" s="74" t="b">
        <f t="shared" ref="AE13" si="47">SUM(AE10:AE12)=AE9</f>
        <v>1</v>
      </c>
      <c r="AF13" s="74" t="b">
        <f t="shared" ref="AF13" si="48">SUM(AF10:AF12)=AF9</f>
        <v>1</v>
      </c>
      <c r="AG13" s="74" t="b">
        <f t="shared" ref="AG13" si="49">SUM(AG10:AG12)=AG9</f>
        <v>1</v>
      </c>
      <c r="AH13" s="74" t="b">
        <f t="shared" ref="AH13" si="50">SUM(AH10:AH12)=AH9</f>
        <v>1</v>
      </c>
      <c r="AI13" s="74" t="b">
        <f t="shared" ref="AI13" si="51">SUM(AI10:AI12)=AI9</f>
        <v>1</v>
      </c>
      <c r="AJ13" s="74" t="b">
        <f t="shared" ref="AJ13" si="52">SUM(AJ10:AJ12)=AJ9</f>
        <v>1</v>
      </c>
      <c r="AK13" s="74" t="b">
        <f t="shared" ref="AK13" si="53">SUM(AK10:AK12)=AK9</f>
        <v>1</v>
      </c>
      <c r="AL13" s="74" t="b">
        <f t="shared" ref="AL13" si="54">SUM(AL10:AL12)=AL9</f>
        <v>1</v>
      </c>
      <c r="AM13" s="74" t="b">
        <f t="shared" ref="AM13" si="55">SUM(AM10:AM12)=AM9</f>
        <v>1</v>
      </c>
      <c r="AN13" s="74" t="b">
        <f t="shared" ref="AN13" si="56">SUM(AN10:AN12)=AN9</f>
        <v>1</v>
      </c>
      <c r="AO13" s="74" t="b">
        <f t="shared" ref="AO13" si="57">SUM(AO10:AO12)=AO9</f>
        <v>1</v>
      </c>
      <c r="AP13" s="74" t="b">
        <f t="shared" ref="AP13" si="58">SUM(AP10:AP12)=AP9</f>
        <v>1</v>
      </c>
      <c r="AQ13" s="74" t="b">
        <f t="shared" ref="AQ13" si="59">SUM(AQ10:AQ12)=AQ9</f>
        <v>1</v>
      </c>
    </row>
    <row r="14" spans="1:65" s="74" customFormat="1" x14ac:dyDescent="0.2">
      <c r="X14" s="320" t="s">
        <v>395</v>
      </c>
      <c r="Y14" s="458">
        <v>23141348.399999999</v>
      </c>
      <c r="Z14" s="458">
        <v>16740906.5</v>
      </c>
      <c r="AA14" s="458">
        <v>18651063.452830188</v>
      </c>
      <c r="AB14" s="458">
        <v>18127099.886792451</v>
      </c>
      <c r="AC14" s="458">
        <v>17050641.590566039</v>
      </c>
      <c r="AD14" s="458">
        <v>17242450.979245283</v>
      </c>
      <c r="AE14" s="458">
        <v>17060421.996226415</v>
      </c>
      <c r="AF14" s="458">
        <v>16235447.161320755</v>
      </c>
      <c r="AG14" s="458">
        <v>16150201.905660378</v>
      </c>
      <c r="AH14" s="458">
        <v>15755886.724528303</v>
      </c>
      <c r="AI14" s="458">
        <v>19418912.281132076</v>
      </c>
      <c r="AJ14" s="458">
        <v>18386453.058490567</v>
      </c>
      <c r="AK14" s="459">
        <f t="shared" ref="AK14:AK15" si="60">SUM(Y14:AJ14)</f>
        <v>213960833.93679249</v>
      </c>
      <c r="AL14" s="460">
        <f t="shared" ref="AL14:AL15" si="61">SUM(Y14:AD14)</f>
        <v>110953510.80943397</v>
      </c>
      <c r="AM14" s="459">
        <f t="shared" ref="AM14:AM15" si="62">SUM(AE14:AJ14)</f>
        <v>103007323.1273585</v>
      </c>
      <c r="AN14" s="460">
        <f t="shared" ref="AN14:AN15" si="63">SUM(Y14:AA14)</f>
        <v>58533318.352830186</v>
      </c>
      <c r="AO14" s="458">
        <f t="shared" ref="AO14:AO15" si="64">SUM(AB14:AD14)</f>
        <v>52420192.456603773</v>
      </c>
      <c r="AP14" s="458">
        <f t="shared" ref="AP14:AP15" si="65">SUM(AE14:AG14)</f>
        <v>49446071.063207544</v>
      </c>
      <c r="AQ14" s="461">
        <f t="shared" ref="AQ14:AQ15" si="66">SUM(AH14:AJ14)</f>
        <v>53561252.064150944</v>
      </c>
    </row>
    <row r="15" spans="1:65" s="74" customFormat="1" x14ac:dyDescent="0.2">
      <c r="X15" s="343" t="s">
        <v>397</v>
      </c>
      <c r="Y15" s="302">
        <v>2769275.6</v>
      </c>
      <c r="Z15" s="302">
        <v>1936495.7</v>
      </c>
      <c r="AA15" s="302">
        <v>2247014.9</v>
      </c>
      <c r="AB15" s="302">
        <v>2050038.4</v>
      </c>
      <c r="AC15" s="302">
        <v>1739691.9</v>
      </c>
      <c r="AD15" s="302">
        <v>1876888.2</v>
      </c>
      <c r="AE15" s="302">
        <v>1558920</v>
      </c>
      <c r="AF15" s="302">
        <v>1430264.5</v>
      </c>
      <c r="AG15" s="302">
        <v>1787154.4</v>
      </c>
      <c r="AH15" s="302">
        <v>1736339.4</v>
      </c>
      <c r="AI15" s="302">
        <v>2199376.9</v>
      </c>
      <c r="AJ15" s="302">
        <v>4376535.8</v>
      </c>
      <c r="AK15" s="462">
        <f t="shared" si="60"/>
        <v>25707995.699999996</v>
      </c>
      <c r="AL15" s="463">
        <f t="shared" si="61"/>
        <v>12619404.699999999</v>
      </c>
      <c r="AM15" s="462">
        <f t="shared" si="62"/>
        <v>13088591</v>
      </c>
      <c r="AN15" s="463">
        <f t="shared" si="63"/>
        <v>6952786.1999999993</v>
      </c>
      <c r="AO15" s="464">
        <f t="shared" si="64"/>
        <v>5666618.5</v>
      </c>
      <c r="AP15" s="464">
        <f t="shared" si="65"/>
        <v>4776338.9000000004</v>
      </c>
      <c r="AQ15" s="465">
        <f t="shared" si="66"/>
        <v>8312252.0999999996</v>
      </c>
    </row>
    <row r="16" spans="1:65" s="74" customFormat="1" x14ac:dyDescent="0.2">
      <c r="X16" s="577" t="s">
        <v>459</v>
      </c>
      <c r="Y16" s="578"/>
      <c r="Z16" s="578"/>
      <c r="AA16" s="578"/>
      <c r="AB16" s="578"/>
      <c r="AC16" s="578"/>
      <c r="AD16" s="578"/>
      <c r="AE16" s="578"/>
      <c r="AF16" s="578"/>
      <c r="AG16" s="578"/>
      <c r="AH16" s="578"/>
      <c r="AI16" s="578"/>
      <c r="AJ16" s="578"/>
      <c r="AK16" s="578"/>
      <c r="AL16" s="578"/>
      <c r="AM16" s="578"/>
      <c r="AN16" s="578"/>
      <c r="AO16" s="578"/>
      <c r="AP16" s="578"/>
      <c r="AQ16" s="579"/>
    </row>
    <row r="17" spans="2:43" x14ac:dyDescent="0.2">
      <c r="X17" s="576" t="s">
        <v>2</v>
      </c>
      <c r="Y17" s="580"/>
      <c r="Z17" s="580"/>
      <c r="AA17" s="580"/>
      <c r="AB17" s="580"/>
      <c r="AC17" s="580"/>
      <c r="AD17" s="580"/>
      <c r="AE17" s="580"/>
      <c r="AF17" s="580"/>
      <c r="AG17" s="580"/>
      <c r="AH17" s="580"/>
      <c r="AI17" s="580"/>
      <c r="AJ17" s="580"/>
      <c r="AK17" s="580"/>
      <c r="AL17" s="580"/>
      <c r="AM17" s="580"/>
      <c r="AN17" s="580"/>
      <c r="AO17" s="580"/>
      <c r="AP17" s="580"/>
      <c r="AQ17" s="581"/>
    </row>
    <row r="20" spans="2:43" x14ac:dyDescent="0.2">
      <c r="W20" s="1" t="s">
        <v>306</v>
      </c>
      <c r="X20" s="90" t="s">
        <v>323</v>
      </c>
      <c r="Y20" s="91" t="s">
        <v>92</v>
      </c>
      <c r="Z20" s="91" t="s">
        <v>93</v>
      </c>
      <c r="AA20" s="91" t="s">
        <v>61</v>
      </c>
      <c r="AB20" s="91" t="s">
        <v>62</v>
      </c>
      <c r="AC20" s="91" t="s">
        <v>63</v>
      </c>
      <c r="AD20" s="91" t="s">
        <v>64</v>
      </c>
      <c r="AE20" s="91" t="s">
        <v>65</v>
      </c>
      <c r="AF20" s="91" t="s">
        <v>66</v>
      </c>
      <c r="AG20" s="91" t="s">
        <v>67</v>
      </c>
      <c r="AH20" s="91" t="s">
        <v>68</v>
      </c>
      <c r="AI20" s="91" t="s">
        <v>69</v>
      </c>
      <c r="AJ20" s="91" t="s">
        <v>94</v>
      </c>
    </row>
    <row r="21" spans="2:43" x14ac:dyDescent="0.2">
      <c r="W21" s="7">
        <v>30641422.9222642</v>
      </c>
      <c r="X21" s="342" t="s">
        <v>300</v>
      </c>
      <c r="Y21" s="355">
        <v>-0.14548063102595654</v>
      </c>
      <c r="Z21" s="355">
        <f>Z9/Y9-1</f>
        <v>-0.27789871413453182</v>
      </c>
      <c r="AA21" s="355">
        <f t="shared" ref="AA21:AJ21" si="67">AA9/Z9-1</f>
        <v>0.12025864278332188</v>
      </c>
      <c r="AB21" s="355">
        <f t="shared" si="67"/>
        <v>-3.593289699821034E-2</v>
      </c>
      <c r="AC21" s="355">
        <f t="shared" si="67"/>
        <v>-6.8146073984878264E-2</v>
      </c>
      <c r="AD21" s="355">
        <f t="shared" si="67"/>
        <v>1.6712760977439123E-2</v>
      </c>
      <c r="AE21" s="355">
        <f t="shared" si="67"/>
        <v>-2.5360201117238468E-2</v>
      </c>
      <c r="AF21" s="355">
        <f t="shared" si="67"/>
        <v>-5.0768909655348082E-2</v>
      </c>
      <c r="AG21" s="355">
        <f t="shared" si="67"/>
        <v>1.4724625205670749E-2</v>
      </c>
      <c r="AH21" s="355">
        <f t="shared" si="67"/>
        <v>-2.4568253650836036E-2</v>
      </c>
      <c r="AI21" s="355">
        <f t="shared" si="67"/>
        <v>0.23303170355433167</v>
      </c>
      <c r="AJ21" s="355">
        <f t="shared" si="67"/>
        <v>5.1590448938102051E-2</v>
      </c>
    </row>
    <row r="22" spans="2:43" ht="30" x14ac:dyDescent="0.2">
      <c r="W22" s="7">
        <f>W21-W24-W23</f>
        <v>27129327.6722642</v>
      </c>
      <c r="X22" s="320" t="s">
        <v>305</v>
      </c>
      <c r="Y22" s="359">
        <v>-0.14996784370825667</v>
      </c>
      <c r="Z22" s="359">
        <f t="shared" ref="Z22:AJ22" si="68">Z10/Y10-1</f>
        <v>-0.28826412789505507</v>
      </c>
      <c r="AA22" s="359">
        <f t="shared" si="68"/>
        <v>0.11841069887787392</v>
      </c>
      <c r="AB22" s="359">
        <f t="shared" si="68"/>
        <v>-6.1186180570353854E-2</v>
      </c>
      <c r="AC22" s="359">
        <f t="shared" si="68"/>
        <v>-3.0321578137666005E-2</v>
      </c>
      <c r="AD22" s="359">
        <f t="shared" si="68"/>
        <v>-1.3079763829165092E-2</v>
      </c>
      <c r="AE22" s="359">
        <f t="shared" si="68"/>
        <v>-1.4635162165306248E-2</v>
      </c>
      <c r="AF22" s="359">
        <f t="shared" si="68"/>
        <v>-6.5528968219371708E-2</v>
      </c>
      <c r="AG22" s="359">
        <f t="shared" si="68"/>
        <v>2.3837171448747085E-2</v>
      </c>
      <c r="AH22" s="359">
        <f t="shared" si="68"/>
        <v>-3.6631268597821509E-2</v>
      </c>
      <c r="AI22" s="359">
        <f t="shared" si="68"/>
        <v>0.17964567494633155</v>
      </c>
      <c r="AJ22" s="359">
        <f t="shared" si="68"/>
        <v>0.13144448493496075</v>
      </c>
    </row>
    <row r="23" spans="2:43" x14ac:dyDescent="0.2">
      <c r="W23" s="7">
        <v>2796841.2</v>
      </c>
      <c r="X23" s="321" t="s">
        <v>274</v>
      </c>
      <c r="Y23" s="363">
        <v>-8.8346095588122786E-2</v>
      </c>
      <c r="Z23" s="363">
        <f t="shared" ref="Z23:AJ23" si="69">Z11/Y11-1</f>
        <v>-0.26264107650973945</v>
      </c>
      <c r="AA23" s="363">
        <f t="shared" si="69"/>
        <v>0.13295666177929055</v>
      </c>
      <c r="AB23" s="363">
        <f t="shared" si="69"/>
        <v>0.22770776589783392</v>
      </c>
      <c r="AC23" s="363">
        <f t="shared" si="69"/>
        <v>-0.32998144148837638</v>
      </c>
      <c r="AD23" s="363">
        <f t="shared" si="69"/>
        <v>0.27037237171835038</v>
      </c>
      <c r="AE23" s="363">
        <f t="shared" si="69"/>
        <v>-0.15700125702753864</v>
      </c>
      <c r="AF23" s="363">
        <f t="shared" si="69"/>
        <v>1.7178251916109666E-2</v>
      </c>
      <c r="AG23" s="363">
        <f t="shared" si="69"/>
        <v>5.2081187950013152E-2</v>
      </c>
      <c r="AH23" s="363">
        <f t="shared" si="69"/>
        <v>-3.1255577529250012E-2</v>
      </c>
      <c r="AI23" s="363">
        <f t="shared" si="69"/>
        <v>0.79649807283688534</v>
      </c>
      <c r="AJ23" s="363">
        <f t="shared" si="69"/>
        <v>-0.3761965629272519</v>
      </c>
    </row>
    <row r="24" spans="2:43" x14ac:dyDescent="0.2">
      <c r="W24" s="7">
        <v>715254.05</v>
      </c>
      <c r="X24" s="343" t="s">
        <v>298</v>
      </c>
      <c r="Y24" s="316">
        <v>-0.19869411434999917</v>
      </c>
      <c r="Z24" s="316">
        <f t="shared" ref="Z24:AJ24" si="70">Z12/Y12-1</f>
        <v>7.1287371151286916E-2</v>
      </c>
      <c r="AA24" s="316">
        <f t="shared" si="70"/>
        <v>0.13077560128243637</v>
      </c>
      <c r="AB24" s="316">
        <f t="shared" si="70"/>
        <v>-0.17708599282380644</v>
      </c>
      <c r="AC24" s="316">
        <f t="shared" si="70"/>
        <v>-1.0612538028501817E-2</v>
      </c>
      <c r="AD24" s="316">
        <f t="shared" si="70"/>
        <v>0.11120047523536236</v>
      </c>
      <c r="AE24" s="316">
        <f t="shared" si="70"/>
        <v>0.15953000122775296</v>
      </c>
      <c r="AF24" s="316">
        <f t="shared" si="70"/>
        <v>0.10351100061077401</v>
      </c>
      <c r="AG24" s="316">
        <f t="shared" si="70"/>
        <v>-0.24616339139445864</v>
      </c>
      <c r="AH24" s="316">
        <f t="shared" si="70"/>
        <v>0.30715410963110235</v>
      </c>
      <c r="AI24" s="316">
        <f t="shared" si="70"/>
        <v>-0.14129613950322117</v>
      </c>
      <c r="AJ24" s="316">
        <f t="shared" si="70"/>
        <v>0.17513797039492074</v>
      </c>
    </row>
    <row r="25" spans="2:43" x14ac:dyDescent="0.2">
      <c r="W25" s="7"/>
    </row>
    <row r="26" spans="2:43" x14ac:dyDescent="0.2">
      <c r="W26" s="7"/>
    </row>
    <row r="27" spans="2:43" x14ac:dyDescent="0.2">
      <c r="W27" s="7"/>
    </row>
    <row r="28" spans="2:43" x14ac:dyDescent="0.2">
      <c r="B28" s="403" t="s">
        <v>317</v>
      </c>
      <c r="C28" s="94" t="s">
        <v>92</v>
      </c>
      <c r="D28" s="94" t="s">
        <v>93</v>
      </c>
      <c r="E28" s="94" t="s">
        <v>61</v>
      </c>
      <c r="F28" s="94" t="s">
        <v>62</v>
      </c>
      <c r="G28" s="94" t="s">
        <v>63</v>
      </c>
      <c r="H28" s="94" t="s">
        <v>64</v>
      </c>
      <c r="I28" s="94" t="s">
        <v>65</v>
      </c>
      <c r="J28" s="94" t="s">
        <v>66</v>
      </c>
      <c r="K28" s="94" t="s">
        <v>67</v>
      </c>
      <c r="L28" s="94" t="s">
        <v>68</v>
      </c>
      <c r="M28" s="94" t="s">
        <v>69</v>
      </c>
      <c r="N28" s="94" t="s">
        <v>86</v>
      </c>
      <c r="O28" s="95" t="s">
        <v>277</v>
      </c>
      <c r="P28" s="404" t="s">
        <v>278</v>
      </c>
      <c r="Q28" s="95" t="s">
        <v>279</v>
      </c>
      <c r="R28" s="404" t="s">
        <v>280</v>
      </c>
      <c r="S28" s="94" t="s">
        <v>126</v>
      </c>
      <c r="T28" s="94" t="s">
        <v>281</v>
      </c>
      <c r="U28" s="405" t="s">
        <v>150</v>
      </c>
      <c r="W28" s="7"/>
      <c r="X28" s="90" t="s">
        <v>301</v>
      </c>
      <c r="Y28" s="91" t="s">
        <v>92</v>
      </c>
      <c r="Z28" s="91" t="s">
        <v>93</v>
      </c>
      <c r="AA28" s="91" t="s">
        <v>61</v>
      </c>
      <c r="AB28" s="91" t="s">
        <v>62</v>
      </c>
      <c r="AC28" s="91" t="s">
        <v>63</v>
      </c>
      <c r="AD28" s="91" t="s">
        <v>64</v>
      </c>
      <c r="AE28" s="91" t="s">
        <v>65</v>
      </c>
      <c r="AF28" s="91" t="s">
        <v>66</v>
      </c>
      <c r="AG28" s="91" t="s">
        <v>67</v>
      </c>
      <c r="AH28" s="91" t="s">
        <v>68</v>
      </c>
      <c r="AI28" s="91" t="s">
        <v>69</v>
      </c>
      <c r="AJ28" s="91" t="s">
        <v>86</v>
      </c>
      <c r="AK28" s="92" t="s">
        <v>277</v>
      </c>
      <c r="AL28" s="285" t="s">
        <v>278</v>
      </c>
      <c r="AM28" s="92" t="s">
        <v>279</v>
      </c>
      <c r="AN28" s="285" t="s">
        <v>280</v>
      </c>
      <c r="AO28" s="91" t="s">
        <v>126</v>
      </c>
      <c r="AP28" s="91" t="s">
        <v>281</v>
      </c>
      <c r="AQ28" s="287" t="s">
        <v>150</v>
      </c>
    </row>
    <row r="29" spans="2:43" x14ac:dyDescent="0.2">
      <c r="B29" s="342" t="s">
        <v>300</v>
      </c>
      <c r="C29" s="355">
        <f t="shared" ref="C29:U29" si="71">C9/$O9</f>
        <v>0.1053354895603868</v>
      </c>
      <c r="D29" s="355">
        <f t="shared" si="71"/>
        <v>7.990243649481521E-2</v>
      </c>
      <c r="E29" s="355">
        <f t="shared" si="71"/>
        <v>8.2950737764481683E-2</v>
      </c>
      <c r="F29" s="355">
        <f t="shared" si="71"/>
        <v>8.3065975432270386E-2</v>
      </c>
      <c r="G29" s="355">
        <f t="shared" si="71"/>
        <v>8.1742913595861263E-2</v>
      </c>
      <c r="H29" s="355">
        <f t="shared" si="71"/>
        <v>7.6867238026527215E-2</v>
      </c>
      <c r="I29" s="355">
        <f t="shared" si="71"/>
        <v>7.9052221653978474E-2</v>
      </c>
      <c r="J29" s="355">
        <f t="shared" si="71"/>
        <v>7.3514176968614092E-2</v>
      </c>
      <c r="K29" s="355">
        <f t="shared" si="71"/>
        <v>8.1363767357016198E-2</v>
      </c>
      <c r="L29" s="355">
        <f t="shared" si="71"/>
        <v>8.8373952735548822E-2</v>
      </c>
      <c r="M29" s="355">
        <f t="shared" si="71"/>
        <v>8.7070083253091998E-2</v>
      </c>
      <c r="N29" s="355">
        <f t="shared" si="71"/>
        <v>8.0761007157407957E-2</v>
      </c>
      <c r="O29" s="356">
        <f t="shared" si="71"/>
        <v>1</v>
      </c>
      <c r="P29" s="357">
        <f t="shared" si="71"/>
        <v>0.50986479087434255</v>
      </c>
      <c r="Q29" s="356">
        <f t="shared" si="71"/>
        <v>0.4901352091256575</v>
      </c>
      <c r="R29" s="357">
        <f t="shared" si="71"/>
        <v>0.26818866381968365</v>
      </c>
      <c r="S29" s="355">
        <f t="shared" si="71"/>
        <v>0.24167612705465888</v>
      </c>
      <c r="T29" s="355">
        <f t="shared" si="71"/>
        <v>0.23393016597960875</v>
      </c>
      <c r="U29" s="358">
        <f t="shared" si="71"/>
        <v>0.25620504314604875</v>
      </c>
      <c r="W29" s="7"/>
      <c r="X29" s="342" t="s">
        <v>300</v>
      </c>
      <c r="Y29" s="355">
        <f>Y9/$AK9</f>
        <v>0.10796760638566408</v>
      </c>
      <c r="Z29" s="355">
        <f t="shared" ref="Z29:AQ29" si="72">Z9/$AK9</f>
        <v>7.7963547402904759E-2</v>
      </c>
      <c r="AA29" s="355">
        <f t="shared" si="72"/>
        <v>8.7339337800151254E-2</v>
      </c>
      <c r="AB29" s="355">
        <f t="shared" si="72"/>
        <v>8.4200982371086516E-2</v>
      </c>
      <c r="AC29" s="355">
        <f t="shared" si="72"/>
        <v>7.8463015996827035E-2</v>
      </c>
      <c r="AD29" s="355">
        <f t="shared" si="72"/>
        <v>7.977434962875099E-2</v>
      </c>
      <c r="AE29" s="355">
        <f t="shared" si="72"/>
        <v>7.7751256078168962E-2</v>
      </c>
      <c r="AF29" s="355">
        <f t="shared" si="72"/>
        <v>7.3803909582746574E-2</v>
      </c>
      <c r="AG29" s="355">
        <f t="shared" si="72"/>
        <v>7.4890644490065716E-2</v>
      </c>
      <c r="AH29" s="355">
        <f t="shared" si="72"/>
        <v>7.3050712140159194E-2</v>
      </c>
      <c r="AI29" s="355">
        <f t="shared" si="72"/>
        <v>9.007384403603759E-2</v>
      </c>
      <c r="AJ29" s="355">
        <f t="shared" si="72"/>
        <v>9.472079408743736E-2</v>
      </c>
      <c r="AK29" s="356">
        <f t="shared" si="72"/>
        <v>1</v>
      </c>
      <c r="AL29" s="357">
        <f t="shared" si="72"/>
        <v>0.5157088395853846</v>
      </c>
      <c r="AM29" s="356">
        <f t="shared" si="72"/>
        <v>0.4842911604146154</v>
      </c>
      <c r="AN29" s="357">
        <f t="shared" si="72"/>
        <v>0.27327049158872008</v>
      </c>
      <c r="AO29" s="355">
        <f t="shared" si="72"/>
        <v>0.24243834799666453</v>
      </c>
      <c r="AP29" s="355">
        <f t="shared" si="72"/>
        <v>0.22644581015098125</v>
      </c>
      <c r="AQ29" s="358">
        <f t="shared" si="72"/>
        <v>0.25784535026363414</v>
      </c>
    </row>
    <row r="30" spans="2:43" ht="30" x14ac:dyDescent="0.2">
      <c r="B30" s="320" t="s">
        <v>305</v>
      </c>
      <c r="C30" s="359">
        <f t="shared" ref="C30:U30" si="73">C10/$O10</f>
        <v>0.11001688868174912</v>
      </c>
      <c r="D30" s="359">
        <f t="shared" si="73"/>
        <v>8.1420839084268087E-2</v>
      </c>
      <c r="E30" s="359">
        <f t="shared" si="73"/>
        <v>8.5898925139074087E-2</v>
      </c>
      <c r="F30" s="359">
        <f t="shared" si="73"/>
        <v>8.4593157269792232E-2</v>
      </c>
      <c r="G30" s="359">
        <f t="shared" si="73"/>
        <v>8.648496691345979E-2</v>
      </c>
      <c r="H30" s="359">
        <f t="shared" si="73"/>
        <v>7.8867687432847944E-2</v>
      </c>
      <c r="I30" s="359">
        <f t="shared" si="73"/>
        <v>8.0223148766141006E-2</v>
      </c>
      <c r="J30" s="359">
        <f t="shared" si="73"/>
        <v>7.3700305574009889E-2</v>
      </c>
      <c r="K30" s="359">
        <f t="shared" si="73"/>
        <v>7.7572550121050979E-2</v>
      </c>
      <c r="L30" s="359">
        <f t="shared" si="73"/>
        <v>8.0111141897484014E-2</v>
      </c>
      <c r="M30" s="359">
        <f t="shared" si="73"/>
        <v>8.0815356106880121E-2</v>
      </c>
      <c r="N30" s="359">
        <f t="shared" si="73"/>
        <v>8.0295033013242742E-2</v>
      </c>
      <c r="O30" s="360">
        <f t="shared" si="73"/>
        <v>1</v>
      </c>
      <c r="P30" s="361">
        <f t="shared" si="73"/>
        <v>0.52728246452119132</v>
      </c>
      <c r="Q30" s="360">
        <f t="shared" si="73"/>
        <v>0.47271753547880874</v>
      </c>
      <c r="R30" s="361">
        <f t="shared" si="73"/>
        <v>0.2773366529050913</v>
      </c>
      <c r="S30" s="359">
        <f t="shared" si="73"/>
        <v>0.24994581161609994</v>
      </c>
      <c r="T30" s="359">
        <f t="shared" si="73"/>
        <v>0.23149600446120186</v>
      </c>
      <c r="U30" s="362">
        <f t="shared" si="73"/>
        <v>0.2412215310176069</v>
      </c>
      <c r="W30" s="7"/>
      <c r="X30" s="320" t="s">
        <v>305</v>
      </c>
      <c r="Y30" s="359">
        <f t="shared" ref="Y30:AQ30" si="74">Y10/$AK10</f>
        <v>0.11092643173654963</v>
      </c>
      <c r="Z30" s="359">
        <f t="shared" si="74"/>
        <v>7.8950320631502799E-2</v>
      </c>
      <c r="AA30" s="359">
        <f t="shared" si="74"/>
        <v>8.829888327411127E-2</v>
      </c>
      <c r="AB30" s="359">
        <f t="shared" si="74"/>
        <v>8.2896211857940896E-2</v>
      </c>
      <c r="AC30" s="359">
        <f t="shared" si="74"/>
        <v>8.0382667892773832E-2</v>
      </c>
      <c r="AD30" s="359">
        <f t="shared" si="74"/>
        <v>7.9331281580778137E-2</v>
      </c>
      <c r="AE30" s="359">
        <f t="shared" si="74"/>
        <v>7.8170255410061881E-2</v>
      </c>
      <c r="AF30" s="359">
        <f t="shared" si="74"/>
        <v>7.3047839227595765E-2</v>
      </c>
      <c r="AG30" s="359">
        <f t="shared" si="74"/>
        <v>7.4789093095224482E-2</v>
      </c>
      <c r="AH30" s="359">
        <f t="shared" si="74"/>
        <v>7.2049473737865841E-2</v>
      </c>
      <c r="AI30" s="359">
        <f t="shared" si="74"/>
        <v>8.4992850077032736E-2</v>
      </c>
      <c r="AJ30" s="359">
        <f t="shared" si="74"/>
        <v>9.6164691478562644E-2</v>
      </c>
      <c r="AK30" s="360">
        <f t="shared" si="74"/>
        <v>1</v>
      </c>
      <c r="AL30" s="361">
        <f t="shared" si="74"/>
        <v>0.52078579697365657</v>
      </c>
      <c r="AM30" s="360">
        <f t="shared" si="74"/>
        <v>0.47921420302634332</v>
      </c>
      <c r="AN30" s="361">
        <f t="shared" si="74"/>
        <v>0.27817563564216374</v>
      </c>
      <c r="AO30" s="359">
        <f t="shared" si="74"/>
        <v>0.24261016133149288</v>
      </c>
      <c r="AP30" s="359">
        <f t="shared" si="74"/>
        <v>0.22600718773288214</v>
      </c>
      <c r="AQ30" s="362">
        <f t="shared" si="74"/>
        <v>0.25320701529346124</v>
      </c>
    </row>
    <row r="31" spans="2:43" x14ac:dyDescent="0.2">
      <c r="B31" s="321" t="s">
        <v>274</v>
      </c>
      <c r="C31" s="363">
        <f t="shared" ref="C31:U31" si="75">C11/$O11</f>
        <v>9.0827860615945E-2</v>
      </c>
      <c r="D31" s="363">
        <f t="shared" si="75"/>
        <v>7.269727620633E-2</v>
      </c>
      <c r="E31" s="363">
        <f t="shared" si="75"/>
        <v>6.4615792606250583E-2</v>
      </c>
      <c r="F31" s="363">
        <f t="shared" si="75"/>
        <v>7.9625560581957813E-2</v>
      </c>
      <c r="G31" s="363">
        <f t="shared" si="75"/>
        <v>5.9287175790594726E-2</v>
      </c>
      <c r="H31" s="363">
        <f t="shared" si="75"/>
        <v>6.6947692955208249E-2</v>
      </c>
      <c r="I31" s="363">
        <f t="shared" si="75"/>
        <v>6.9345689909447436E-2</v>
      </c>
      <c r="J31" s="363">
        <f t="shared" si="75"/>
        <v>5.7328375336891571E-2</v>
      </c>
      <c r="K31" s="363">
        <f t="shared" si="75"/>
        <v>0.10707362333230754</v>
      </c>
      <c r="L31" s="363">
        <f t="shared" si="75"/>
        <v>0.13788846155105738</v>
      </c>
      <c r="M31" s="363">
        <f t="shared" si="75"/>
        <v>0.12833937281867225</v>
      </c>
      <c r="N31" s="363">
        <f t="shared" si="75"/>
        <v>6.6023118295337357E-2</v>
      </c>
      <c r="O31" s="364">
        <f t="shared" si="75"/>
        <v>1</v>
      </c>
      <c r="P31" s="365">
        <f t="shared" si="75"/>
        <v>0.43400135875628643</v>
      </c>
      <c r="Q31" s="364">
        <f t="shared" si="75"/>
        <v>0.56599864124371357</v>
      </c>
      <c r="R31" s="365">
        <f t="shared" si="75"/>
        <v>0.2281409294285256</v>
      </c>
      <c r="S31" s="363">
        <f t="shared" si="75"/>
        <v>0.2058604293277608</v>
      </c>
      <c r="T31" s="363">
        <f t="shared" si="75"/>
        <v>0.23374768857864653</v>
      </c>
      <c r="U31" s="366">
        <f t="shared" si="75"/>
        <v>0.33225095266506705</v>
      </c>
      <c r="W31" s="7"/>
      <c r="X31" s="321" t="s">
        <v>274</v>
      </c>
      <c r="Y31" s="363">
        <f t="shared" ref="Y31:AQ31" si="76">Y11/$AK11</f>
        <v>9.5977401267155552E-2</v>
      </c>
      <c r="Z31" s="363">
        <f t="shared" si="76"/>
        <v>7.0769793277742576E-2</v>
      </c>
      <c r="AA31" s="363">
        <f t="shared" si="76"/>
        <v>8.0179108746761707E-2</v>
      </c>
      <c r="AB31" s="363">
        <f t="shared" si="76"/>
        <v>9.8436514471166289E-2</v>
      </c>
      <c r="AC31" s="363">
        <f t="shared" si="76"/>
        <v>6.5954291530879422E-2</v>
      </c>
      <c r="AD31" s="363">
        <f t="shared" si="76"/>
        <v>8.3786509757086805E-2</v>
      </c>
      <c r="AE31" s="363">
        <f t="shared" si="76"/>
        <v>7.0631922403274039E-2</v>
      </c>
      <c r="AF31" s="363">
        <f t="shared" si="76"/>
        <v>7.1845255359636595E-2</v>
      </c>
      <c r="AG31" s="363">
        <f t="shared" si="76"/>
        <v>7.5587041607338507E-2</v>
      </c>
      <c r="AH31" s="363">
        <f t="shared" si="76"/>
        <v>7.3224524968173693E-2</v>
      </c>
      <c r="AI31" s="363">
        <f t="shared" si="76"/>
        <v>0.13154771798972043</v>
      </c>
      <c r="AJ31" s="363">
        <f t="shared" si="76"/>
        <v>8.2059918621064182E-2</v>
      </c>
      <c r="AK31" s="364">
        <f t="shared" si="76"/>
        <v>1</v>
      </c>
      <c r="AL31" s="365">
        <f t="shared" si="76"/>
        <v>0.49510361905079237</v>
      </c>
      <c r="AM31" s="364">
        <f t="shared" si="76"/>
        <v>0.50489638094920741</v>
      </c>
      <c r="AN31" s="365">
        <f t="shared" si="76"/>
        <v>0.24692630329165979</v>
      </c>
      <c r="AO31" s="363">
        <f t="shared" si="76"/>
        <v>0.24817731575913249</v>
      </c>
      <c r="AP31" s="363">
        <f t="shared" si="76"/>
        <v>0.21806421937024914</v>
      </c>
      <c r="AQ31" s="366">
        <f t="shared" si="76"/>
        <v>0.2868321615789583</v>
      </c>
    </row>
    <row r="32" spans="2:43" x14ac:dyDescent="0.2">
      <c r="B32" s="343" t="s">
        <v>298</v>
      </c>
      <c r="C32" s="316">
        <f t="shared" ref="C32:U32" si="77">C12/$O12</f>
        <v>7.574125794562582E-2</v>
      </c>
      <c r="D32" s="316">
        <f t="shared" si="77"/>
        <v>7.4991550444330826E-2</v>
      </c>
      <c r="E32" s="316">
        <f t="shared" si="77"/>
        <v>8.1564655547822454E-2</v>
      </c>
      <c r="F32" s="316">
        <f t="shared" si="77"/>
        <v>7.0987979088883033E-2</v>
      </c>
      <c r="G32" s="316">
        <f t="shared" si="77"/>
        <v>6.6318992180600334E-2</v>
      </c>
      <c r="H32" s="316">
        <f t="shared" si="77"/>
        <v>7.119804470518018E-2</v>
      </c>
      <c r="I32" s="316">
        <f t="shared" si="77"/>
        <v>8.3048680664578087E-2</v>
      </c>
      <c r="J32" s="316">
        <f t="shared" si="77"/>
        <v>0.10161139012752762</v>
      </c>
      <c r="K32" s="316">
        <f t="shared" si="77"/>
        <v>7.9147629036446066E-2</v>
      </c>
      <c r="L32" s="316">
        <f t="shared" si="77"/>
        <v>9.5770246980312293E-2</v>
      </c>
      <c r="M32" s="316">
        <f t="shared" si="77"/>
        <v>8.5564440607514322E-2</v>
      </c>
      <c r="N32" s="316">
        <f t="shared" si="77"/>
        <v>0.11405513267117898</v>
      </c>
      <c r="O32" s="367">
        <f t="shared" si="77"/>
        <v>1</v>
      </c>
      <c r="P32" s="368">
        <f t="shared" si="77"/>
        <v>0.4408024799124427</v>
      </c>
      <c r="Q32" s="367">
        <f t="shared" si="77"/>
        <v>0.55919752008755741</v>
      </c>
      <c r="R32" s="368">
        <f t="shared" si="77"/>
        <v>0.23229746393777911</v>
      </c>
      <c r="S32" s="316">
        <f t="shared" si="77"/>
        <v>0.20850501597466359</v>
      </c>
      <c r="T32" s="316">
        <f t="shared" si="77"/>
        <v>0.26380769982855179</v>
      </c>
      <c r="U32" s="369">
        <f t="shared" si="77"/>
        <v>0.29538982025900556</v>
      </c>
      <c r="W32" s="7"/>
      <c r="X32" s="343" t="s">
        <v>298</v>
      </c>
      <c r="Y32" s="316">
        <f t="shared" ref="Y32:AQ32" si="78">Y12/$AK12</f>
        <v>7.1149480442214447E-2</v>
      </c>
      <c r="Z32" s="316">
        <f t="shared" si="78"/>
        <v>7.6221539861719811E-2</v>
      </c>
      <c r="AA32" s="316">
        <f t="shared" si="78"/>
        <v>8.6189457567809408E-2</v>
      </c>
      <c r="AB32" s="316">
        <f t="shared" si="78"/>
        <v>7.0926511903468548E-2</v>
      </c>
      <c r="AC32" s="316">
        <f t="shared" si="78"/>
        <v>7.0173801598664001E-2</v>
      </c>
      <c r="AD32" s="316">
        <f t="shared" si="78"/>
        <v>7.7977161685507473E-2</v>
      </c>
      <c r="AE32" s="316">
        <f t="shared" si="78"/>
        <v>9.0416858384933171E-2</v>
      </c>
      <c r="AF32" s="316">
        <f t="shared" si="78"/>
        <v>9.9775997868440255E-2</v>
      </c>
      <c r="AG32" s="316">
        <f t="shared" si="78"/>
        <v>7.5214799853378728E-2</v>
      </c>
      <c r="AH32" s="316">
        <f t="shared" si="78"/>
        <v>9.8317334733424841E-2</v>
      </c>
      <c r="AI32" s="316">
        <f t="shared" si="78"/>
        <v>8.4425474889345958E-2</v>
      </c>
      <c r="AJ32" s="316">
        <f t="shared" si="78"/>
        <v>9.9211581211093358E-2</v>
      </c>
      <c r="AK32" s="367">
        <f t="shared" si="78"/>
        <v>1</v>
      </c>
      <c r="AL32" s="401">
        <f t="shared" si="78"/>
        <v>0.45263795305938365</v>
      </c>
      <c r="AM32" s="402">
        <f t="shared" si="78"/>
        <v>0.5473620469406163</v>
      </c>
      <c r="AN32" s="368">
        <f t="shared" si="78"/>
        <v>0.23356047787174367</v>
      </c>
      <c r="AO32" s="316">
        <f t="shared" si="78"/>
        <v>0.21907747518764004</v>
      </c>
      <c r="AP32" s="316">
        <f t="shared" si="78"/>
        <v>0.26540765610675215</v>
      </c>
      <c r="AQ32" s="369">
        <f t="shared" si="78"/>
        <v>0.28195439083386414</v>
      </c>
    </row>
    <row r="33" spans="2:43" x14ac:dyDescent="0.2">
      <c r="B33" s="425"/>
      <c r="C33" s="427"/>
      <c r="D33" s="427"/>
      <c r="E33" s="427"/>
      <c r="F33" s="427"/>
      <c r="G33" s="427"/>
      <c r="H33" s="427"/>
      <c r="I33" s="427"/>
      <c r="J33" s="427"/>
      <c r="K33" s="427"/>
      <c r="L33" s="427"/>
      <c r="M33" s="427"/>
      <c r="N33" s="427"/>
      <c r="O33" s="427"/>
      <c r="P33" s="427"/>
      <c r="Q33" s="427"/>
      <c r="R33" s="427"/>
      <c r="S33" s="427"/>
      <c r="T33" s="427"/>
      <c r="U33" s="427"/>
      <c r="W33" s="7"/>
      <c r="X33" s="320" t="s">
        <v>395</v>
      </c>
      <c r="Y33" s="467">
        <f>Y14/$AK$14</f>
        <v>0.10815693682908493</v>
      </c>
      <c r="Z33" s="467">
        <f t="shared" ref="Z33:AQ33" si="79">Z14/$AK$14</f>
        <v>7.8242854974782602E-2</v>
      </c>
      <c r="AA33" s="467">
        <f t="shared" si="79"/>
        <v>8.7170455964571611E-2</v>
      </c>
      <c r="AB33" s="467">
        <f t="shared" si="79"/>
        <v>8.4721579895073187E-2</v>
      </c>
      <c r="AC33" s="467">
        <f t="shared" si="79"/>
        <v>7.9690480153966292E-2</v>
      </c>
      <c r="AD33" s="467">
        <f t="shared" si="79"/>
        <v>8.0586949779504896E-2</v>
      </c>
      <c r="AE33" s="467">
        <f t="shared" si="79"/>
        <v>7.9736191350171778E-2</v>
      </c>
      <c r="AF33" s="467">
        <f t="shared" si="79"/>
        <v>7.5880463085673755E-2</v>
      </c>
      <c r="AG33" s="467">
        <f t="shared" si="79"/>
        <v>7.5482047851951312E-2</v>
      </c>
      <c r="AH33" s="467">
        <f t="shared" si="79"/>
        <v>7.3639116256122128E-2</v>
      </c>
      <c r="AI33" s="467">
        <f t="shared" si="79"/>
        <v>9.0759191408221654E-2</v>
      </c>
      <c r="AJ33" s="467">
        <f t="shared" si="79"/>
        <v>8.5933732450875683E-2</v>
      </c>
      <c r="AK33" s="468">
        <f t="shared" si="79"/>
        <v>1</v>
      </c>
      <c r="AL33" s="469">
        <f t="shared" si="79"/>
        <v>0.51856925759698358</v>
      </c>
      <c r="AM33" s="468">
        <f t="shared" si="79"/>
        <v>0.48143074240301631</v>
      </c>
      <c r="AN33" s="469">
        <f t="shared" si="79"/>
        <v>0.27357024776843913</v>
      </c>
      <c r="AO33" s="467">
        <f t="shared" si="79"/>
        <v>0.24499900982854436</v>
      </c>
      <c r="AP33" s="467">
        <f t="shared" si="79"/>
        <v>0.23109870228779683</v>
      </c>
      <c r="AQ33" s="470">
        <f t="shared" si="79"/>
        <v>0.25033204011521942</v>
      </c>
    </row>
    <row r="34" spans="2:43" x14ac:dyDescent="0.2">
      <c r="B34" s="425"/>
      <c r="C34" s="427"/>
      <c r="D34" s="427"/>
      <c r="E34" s="427"/>
      <c r="F34" s="427"/>
      <c r="G34" s="427"/>
      <c r="H34" s="427"/>
      <c r="I34" s="427"/>
      <c r="J34" s="427"/>
      <c r="K34" s="427"/>
      <c r="L34" s="427"/>
      <c r="M34" s="427"/>
      <c r="N34" s="427"/>
      <c r="O34" s="427"/>
      <c r="P34" s="427"/>
      <c r="Q34" s="427"/>
      <c r="R34" s="427"/>
      <c r="S34" s="427"/>
      <c r="T34" s="427"/>
      <c r="U34" s="427"/>
      <c r="W34" s="7"/>
      <c r="X34" s="343" t="s">
        <v>397</v>
      </c>
      <c r="Y34" s="316">
        <f>Y15/$AK$15</f>
        <v>0.10772040077787941</v>
      </c>
      <c r="Z34" s="316">
        <f t="shared" ref="Z34:AQ34" si="80">Z15/$AK$15</f>
        <v>7.5326591874293816E-2</v>
      </c>
      <c r="AA34" s="316">
        <f t="shared" si="80"/>
        <v>8.7405293132206352E-2</v>
      </c>
      <c r="AB34" s="316">
        <f t="shared" si="80"/>
        <v>7.9743221677915574E-2</v>
      </c>
      <c r="AC34" s="316">
        <f t="shared" si="80"/>
        <v>6.7671238174355233E-2</v>
      </c>
      <c r="AD34" s="316">
        <f t="shared" si="80"/>
        <v>7.3007955264283803E-2</v>
      </c>
      <c r="AE34" s="316">
        <f t="shared" si="80"/>
        <v>6.0639499795777554E-2</v>
      </c>
      <c r="AF34" s="316">
        <f t="shared" si="80"/>
        <v>5.5635006193812307E-2</v>
      </c>
      <c r="AG34" s="316">
        <f t="shared" si="80"/>
        <v>6.9517453669093315E-2</v>
      </c>
      <c r="AH34" s="316">
        <f t="shared" si="80"/>
        <v>6.7540831275306315E-2</v>
      </c>
      <c r="AI34" s="316">
        <f t="shared" si="80"/>
        <v>8.5552250967585161E-2</v>
      </c>
      <c r="AJ34" s="316">
        <f t="shared" si="80"/>
        <v>0.17024025719749131</v>
      </c>
      <c r="AK34" s="471">
        <f t="shared" si="80"/>
        <v>1</v>
      </c>
      <c r="AL34" s="472">
        <f t="shared" si="80"/>
        <v>0.49087470090093416</v>
      </c>
      <c r="AM34" s="471">
        <f t="shared" si="80"/>
        <v>0.50912529909906601</v>
      </c>
      <c r="AN34" s="472">
        <f t="shared" si="80"/>
        <v>0.27045228578437952</v>
      </c>
      <c r="AO34" s="473">
        <f t="shared" si="80"/>
        <v>0.22042241511655461</v>
      </c>
      <c r="AP34" s="473">
        <f t="shared" si="80"/>
        <v>0.1857919596586832</v>
      </c>
      <c r="AQ34" s="474">
        <f t="shared" si="80"/>
        <v>0.32333333944038278</v>
      </c>
    </row>
    <row r="35" spans="2:43" x14ac:dyDescent="0.2">
      <c r="W35" s="7"/>
    </row>
    <row r="36" spans="2:43" x14ac:dyDescent="0.2">
      <c r="W36" s="7"/>
    </row>
    <row r="37" spans="2:43" x14ac:dyDescent="0.2">
      <c r="W37" s="7"/>
    </row>
    <row r="38" spans="2:43" x14ac:dyDescent="0.2">
      <c r="B38" s="6" t="s">
        <v>303</v>
      </c>
      <c r="C38" s="6">
        <v>31</v>
      </c>
      <c r="D38" s="6">
        <v>28</v>
      </c>
      <c r="E38" s="6">
        <v>31</v>
      </c>
      <c r="F38" s="6">
        <v>30</v>
      </c>
      <c r="G38" s="6">
        <v>31</v>
      </c>
      <c r="H38" s="6">
        <v>30</v>
      </c>
      <c r="I38" s="6">
        <v>31</v>
      </c>
      <c r="J38" s="6">
        <v>31</v>
      </c>
      <c r="K38" s="6">
        <v>30</v>
      </c>
      <c r="L38" s="6">
        <v>31</v>
      </c>
      <c r="M38" s="6">
        <v>30</v>
      </c>
      <c r="N38" s="6">
        <v>31</v>
      </c>
      <c r="O38" s="6">
        <f>SUM(C38:N38)</f>
        <v>365</v>
      </c>
      <c r="P38" s="6">
        <f>SUM(C38:H38)</f>
        <v>181</v>
      </c>
      <c r="Q38" s="6">
        <f>SUM(I38:N38)</f>
        <v>184</v>
      </c>
      <c r="R38" s="6">
        <f>SUM(C38:E38)</f>
        <v>90</v>
      </c>
      <c r="S38" s="6">
        <f>SUM(F38:H38)</f>
        <v>91</v>
      </c>
      <c r="T38" s="6">
        <f>SUM(I38:K38)</f>
        <v>92</v>
      </c>
      <c r="U38" s="6">
        <f>SUM(L38:N38)</f>
        <v>92</v>
      </c>
      <c r="W38" s="7"/>
      <c r="X38" s="6" t="s">
        <v>303</v>
      </c>
      <c r="Y38" s="6">
        <v>31</v>
      </c>
      <c r="Z38" s="6">
        <v>28</v>
      </c>
      <c r="AA38" s="6">
        <v>31</v>
      </c>
      <c r="AB38" s="6">
        <v>30</v>
      </c>
      <c r="AC38" s="6">
        <v>31</v>
      </c>
      <c r="AD38" s="6">
        <v>30</v>
      </c>
      <c r="AE38" s="6">
        <v>31</v>
      </c>
      <c r="AF38" s="6">
        <v>31</v>
      </c>
      <c r="AG38" s="6">
        <v>30</v>
      </c>
      <c r="AH38" s="6">
        <v>31</v>
      </c>
      <c r="AI38" s="6">
        <v>30</v>
      </c>
      <c r="AJ38" s="6">
        <v>31</v>
      </c>
      <c r="AK38" s="6">
        <f>SUM(Y38:AJ38)</f>
        <v>365</v>
      </c>
      <c r="AL38" s="6">
        <f>SUM(Y38:AD38)</f>
        <v>181</v>
      </c>
      <c r="AM38" s="6">
        <f>SUM(AE38:AJ38)</f>
        <v>184</v>
      </c>
      <c r="AN38" s="6">
        <f>SUM(Y38:AA38)</f>
        <v>90</v>
      </c>
      <c r="AO38" s="6">
        <f>SUM(AB38:AD38)</f>
        <v>91</v>
      </c>
      <c r="AP38" s="6">
        <f>SUM(AE38:AG38)</f>
        <v>92</v>
      </c>
      <c r="AQ38" s="6">
        <f>SUM(AH38:AJ38)</f>
        <v>92</v>
      </c>
    </row>
    <row r="39" spans="2:43" x14ac:dyDescent="0.2">
      <c r="B39" s="403" t="s">
        <v>318</v>
      </c>
      <c r="C39" s="94" t="s">
        <v>92</v>
      </c>
      <c r="D39" s="94" t="s">
        <v>93</v>
      </c>
      <c r="E39" s="94" t="s">
        <v>61</v>
      </c>
      <c r="F39" s="94" t="s">
        <v>62</v>
      </c>
      <c r="G39" s="94" t="s">
        <v>63</v>
      </c>
      <c r="H39" s="94" t="s">
        <v>64</v>
      </c>
      <c r="I39" s="94" t="s">
        <v>65</v>
      </c>
      <c r="J39" s="94" t="s">
        <v>66</v>
      </c>
      <c r="K39" s="94" t="s">
        <v>67</v>
      </c>
      <c r="L39" s="94" t="s">
        <v>68</v>
      </c>
      <c r="M39" s="94" t="s">
        <v>69</v>
      </c>
      <c r="N39" s="94" t="s">
        <v>86</v>
      </c>
      <c r="O39" s="95" t="s">
        <v>277</v>
      </c>
      <c r="P39" s="404" t="s">
        <v>278</v>
      </c>
      <c r="Q39" s="95" t="s">
        <v>279</v>
      </c>
      <c r="R39" s="404" t="s">
        <v>280</v>
      </c>
      <c r="S39" s="94" t="s">
        <v>126</v>
      </c>
      <c r="T39" s="94" t="s">
        <v>281</v>
      </c>
      <c r="U39" s="405" t="s">
        <v>150</v>
      </c>
      <c r="W39" s="7"/>
      <c r="X39" s="90" t="s">
        <v>319</v>
      </c>
      <c r="Y39" s="91" t="s">
        <v>92</v>
      </c>
      <c r="Z39" s="91" t="s">
        <v>93</v>
      </c>
      <c r="AA39" s="91" t="s">
        <v>61</v>
      </c>
      <c r="AB39" s="91" t="s">
        <v>62</v>
      </c>
      <c r="AC39" s="91" t="s">
        <v>63</v>
      </c>
      <c r="AD39" s="91" t="s">
        <v>64</v>
      </c>
      <c r="AE39" s="91" t="s">
        <v>65</v>
      </c>
      <c r="AF39" s="91" t="s">
        <v>66</v>
      </c>
      <c r="AG39" s="91" t="s">
        <v>67</v>
      </c>
      <c r="AH39" s="91" t="s">
        <v>68</v>
      </c>
      <c r="AI39" s="91" t="s">
        <v>69</v>
      </c>
      <c r="AJ39" s="91" t="s">
        <v>86</v>
      </c>
      <c r="AK39" s="92" t="s">
        <v>277</v>
      </c>
      <c r="AL39" s="285" t="s">
        <v>278</v>
      </c>
      <c r="AM39" s="92" t="s">
        <v>279</v>
      </c>
      <c r="AN39" s="285" t="s">
        <v>280</v>
      </c>
      <c r="AO39" s="91" t="s">
        <v>126</v>
      </c>
      <c r="AP39" s="91" t="s">
        <v>281</v>
      </c>
      <c r="AQ39" s="287" t="s">
        <v>150</v>
      </c>
    </row>
    <row r="40" spans="2:43" x14ac:dyDescent="0.2">
      <c r="B40" s="342" t="s">
        <v>300</v>
      </c>
      <c r="C40" s="351">
        <f t="shared" ref="C40:U40" si="81">C9/C$38</f>
        <v>3555561.3609677395</v>
      </c>
      <c r="D40" s="351">
        <f t="shared" si="81"/>
        <v>2986050.4782142998</v>
      </c>
      <c r="E40" s="351">
        <f t="shared" si="81"/>
        <v>2799972.158387105</v>
      </c>
      <c r="F40" s="351">
        <f t="shared" si="81"/>
        <v>2897324.0296666762</v>
      </c>
      <c r="G40" s="351">
        <f t="shared" si="81"/>
        <v>2759202.4903225936</v>
      </c>
      <c r="H40" s="351">
        <f t="shared" si="81"/>
        <v>2681113.3520000153</v>
      </c>
      <c r="I40" s="351">
        <f t="shared" si="81"/>
        <v>2668379.1567742061</v>
      </c>
      <c r="J40" s="351">
        <f t="shared" si="81"/>
        <v>2481444.4609677563</v>
      </c>
      <c r="K40" s="351">
        <f t="shared" si="81"/>
        <v>2837951.3643333483</v>
      </c>
      <c r="L40" s="351">
        <f t="shared" si="81"/>
        <v>2983030.8187096901</v>
      </c>
      <c r="M40" s="351">
        <f t="shared" si="81"/>
        <v>3036986.4816666772</v>
      </c>
      <c r="N40" s="351">
        <f t="shared" si="81"/>
        <v>2726058.5935483868</v>
      </c>
      <c r="O40" s="352">
        <f t="shared" si="81"/>
        <v>2866832.3026027498</v>
      </c>
      <c r="P40" s="353">
        <f t="shared" si="81"/>
        <v>2947620.7245303961</v>
      </c>
      <c r="Q40" s="352">
        <f t="shared" si="81"/>
        <v>2787361.0832065325</v>
      </c>
      <c r="R40" s="353">
        <f t="shared" si="81"/>
        <v>3118121.6943333396</v>
      </c>
      <c r="S40" s="351">
        <f t="shared" si="81"/>
        <v>2778993.3917582547</v>
      </c>
      <c r="T40" s="351">
        <f t="shared" si="81"/>
        <v>2660685.5769565357</v>
      </c>
      <c r="U40" s="354">
        <f t="shared" si="81"/>
        <v>2914036.5894565289</v>
      </c>
      <c r="W40" s="7">
        <f>30641422.9222642/31</f>
        <v>988432.9974923936</v>
      </c>
      <c r="X40" s="342" t="s">
        <v>300</v>
      </c>
      <c r="Y40" s="351">
        <f t="shared" ref="Y40:AQ40" si="82">Y9/Y$38</f>
        <v>844635.14129032241</v>
      </c>
      <c r="Z40" s="351">
        <f t="shared" si="82"/>
        <v>675259.84892857145</v>
      </c>
      <c r="AA40" s="351">
        <f t="shared" si="82"/>
        <v>683259.3255751672</v>
      </c>
      <c r="AB40" s="351">
        <f t="shared" si="82"/>
        <v>680664.76655974833</v>
      </c>
      <c r="AC40" s="351">
        <f t="shared" si="82"/>
        <v>613819.48550213024</v>
      </c>
      <c r="AD40" s="351">
        <f t="shared" si="82"/>
        <v>644880.70730817609</v>
      </c>
      <c r="AE40" s="351">
        <f t="shared" si="82"/>
        <v>608251.35762020678</v>
      </c>
      <c r="AF40" s="351">
        <f t="shared" si="82"/>
        <v>577371.0993974437</v>
      </c>
      <c r="AG40" s="351">
        <f t="shared" si="82"/>
        <v>605401.7615220123</v>
      </c>
      <c r="AH40" s="351">
        <f t="shared" si="82"/>
        <v>571478.80401704181</v>
      </c>
      <c r="AI40" s="351">
        <f t="shared" si="82"/>
        <v>728139.86603773595</v>
      </c>
      <c r="AJ40" s="351">
        <f t="shared" si="82"/>
        <v>741004.76962872804</v>
      </c>
      <c r="AK40" s="352">
        <f t="shared" si="82"/>
        <v>664422.76242956833</v>
      </c>
      <c r="AL40" s="353">
        <f t="shared" si="82"/>
        <v>690976.64369853004</v>
      </c>
      <c r="AM40" s="352">
        <f t="shared" si="82"/>
        <v>638301.82487694826</v>
      </c>
      <c r="AN40" s="353">
        <f t="shared" si="82"/>
        <v>736355.60269811307</v>
      </c>
      <c r="AO40" s="351">
        <f t="shared" si="82"/>
        <v>646096.35457806336</v>
      </c>
      <c r="AP40" s="351">
        <f t="shared" si="82"/>
        <v>596916.83710008196</v>
      </c>
      <c r="AQ40" s="354">
        <f t="shared" si="82"/>
        <v>679686.81265381468</v>
      </c>
    </row>
    <row r="41" spans="2:43" ht="30" x14ac:dyDescent="0.2">
      <c r="B41" s="320" t="s">
        <v>305</v>
      </c>
      <c r="C41" s="347">
        <f t="shared" ref="C41:U41" si="83">C10/C$38</f>
        <v>3002132.1009677416</v>
      </c>
      <c r="D41" s="347">
        <f t="shared" si="83"/>
        <v>2459855.9517857144</v>
      </c>
      <c r="E41" s="347">
        <f t="shared" si="83"/>
        <v>2344003.0316129033</v>
      </c>
      <c r="F41" s="347">
        <f t="shared" si="83"/>
        <v>2385317.0533333332</v>
      </c>
      <c r="G41" s="347">
        <f t="shared" si="83"/>
        <v>2359994.892903226</v>
      </c>
      <c r="H41" s="347">
        <f t="shared" si="83"/>
        <v>2223873.0160000003</v>
      </c>
      <c r="I41" s="347">
        <f t="shared" si="83"/>
        <v>2189122.8977419352</v>
      </c>
      <c r="J41" s="347">
        <f t="shared" si="83"/>
        <v>2011128.071935484</v>
      </c>
      <c r="K41" s="347">
        <f t="shared" si="83"/>
        <v>2187353.3586666668</v>
      </c>
      <c r="L41" s="347">
        <f t="shared" si="83"/>
        <v>2186066.4632258066</v>
      </c>
      <c r="M41" s="347">
        <f t="shared" si="83"/>
        <v>2278792.4380000001</v>
      </c>
      <c r="N41" s="347">
        <f t="shared" si="83"/>
        <v>2191084.4693548386</v>
      </c>
      <c r="O41" s="348">
        <f t="shared" si="83"/>
        <v>2317604.198328767</v>
      </c>
      <c r="P41" s="349">
        <f t="shared" si="83"/>
        <v>2464318.7818784532</v>
      </c>
      <c r="Q41" s="348">
        <f t="shared" si="83"/>
        <v>2173281.7003804347</v>
      </c>
      <c r="R41" s="349">
        <f t="shared" si="83"/>
        <v>2606735.0639999998</v>
      </c>
      <c r="S41" s="347">
        <f t="shared" si="83"/>
        <v>2323467.5138461539</v>
      </c>
      <c r="T41" s="347">
        <f t="shared" si="83"/>
        <v>2128569.3567391303</v>
      </c>
      <c r="U41" s="350">
        <f t="shared" si="83"/>
        <v>2217994.0440217392</v>
      </c>
      <c r="W41" s="7">
        <f>W22/31</f>
        <v>875139.60233110317</v>
      </c>
      <c r="X41" s="320" t="s">
        <v>305</v>
      </c>
      <c r="Y41" s="347">
        <f t="shared" ref="Y41:AQ41" si="84">Y10/Y$38</f>
        <v>743896.80322580645</v>
      </c>
      <c r="Z41" s="347">
        <f t="shared" si="84"/>
        <v>586185.68714285712</v>
      </c>
      <c r="AA41" s="347">
        <f t="shared" si="84"/>
        <v>592151.53654290934</v>
      </c>
      <c r="AB41" s="347">
        <f t="shared" si="84"/>
        <v>574450.71389308176</v>
      </c>
      <c r="AC41" s="347">
        <f t="shared" si="84"/>
        <v>539063.67259890446</v>
      </c>
      <c r="AD41" s="347">
        <f t="shared" si="84"/>
        <v>549746.60864150943</v>
      </c>
      <c r="AE41" s="347">
        <f t="shared" si="84"/>
        <v>524226.7527814972</v>
      </c>
      <c r="AF41" s="347">
        <f t="shared" si="84"/>
        <v>489874.71455873403</v>
      </c>
      <c r="AG41" s="347">
        <f t="shared" si="84"/>
        <v>518270.34018867923</v>
      </c>
      <c r="AH41" s="347">
        <f t="shared" si="84"/>
        <v>483179.45821059041</v>
      </c>
      <c r="AI41" s="347">
        <f t="shared" si="84"/>
        <v>588979.91003773583</v>
      </c>
      <c r="AJ41" s="347">
        <f t="shared" si="84"/>
        <v>644901.35898356664</v>
      </c>
      <c r="AK41" s="348">
        <f t="shared" si="84"/>
        <v>569569.17705970537</v>
      </c>
      <c r="AL41" s="349">
        <f t="shared" si="84"/>
        <v>598163.48784217658</v>
      </c>
      <c r="AM41" s="348">
        <f t="shared" si="84"/>
        <v>541441.0778660787</v>
      </c>
      <c r="AN41" s="349">
        <f t="shared" si="84"/>
        <v>642563.3085870021</v>
      </c>
      <c r="AO41" s="347">
        <f t="shared" si="84"/>
        <v>554251.57721542614</v>
      </c>
      <c r="AP41" s="347">
        <f t="shared" si="84"/>
        <v>510709.30101312551</v>
      </c>
      <c r="AQ41" s="350">
        <f t="shared" si="84"/>
        <v>572172.85471903195</v>
      </c>
    </row>
    <row r="42" spans="2:43" x14ac:dyDescent="0.2">
      <c r="B42" s="321" t="s">
        <v>274</v>
      </c>
      <c r="C42" s="338">
        <f t="shared" ref="C42:U42" si="85">C11/C$38</f>
        <v>383091.52903225808</v>
      </c>
      <c r="D42" s="338">
        <f t="shared" si="85"/>
        <v>339473.02142857143</v>
      </c>
      <c r="E42" s="338">
        <f t="shared" si="85"/>
        <v>272534.9096774194</v>
      </c>
      <c r="F42" s="338">
        <f t="shared" si="85"/>
        <v>347037.5</v>
      </c>
      <c r="G42" s="338">
        <f t="shared" si="85"/>
        <v>250060</v>
      </c>
      <c r="H42" s="338">
        <f t="shared" si="85"/>
        <v>291782.68666666665</v>
      </c>
      <c r="I42" s="338">
        <f t="shared" si="85"/>
        <v>292484.55483870971</v>
      </c>
      <c r="J42" s="338">
        <f t="shared" si="85"/>
        <v>241798.21935483871</v>
      </c>
      <c r="K42" s="338">
        <f t="shared" si="85"/>
        <v>466666.25999999995</v>
      </c>
      <c r="L42" s="338">
        <f t="shared" si="85"/>
        <v>581582.58064516133</v>
      </c>
      <c r="M42" s="338">
        <f t="shared" si="85"/>
        <v>559350.22333333327</v>
      </c>
      <c r="N42" s="338">
        <f t="shared" si="85"/>
        <v>278470.69354838709</v>
      </c>
      <c r="O42" s="339">
        <f t="shared" si="85"/>
        <v>358222.03232876718</v>
      </c>
      <c r="P42" s="340">
        <f t="shared" si="85"/>
        <v>313514.52928176796</v>
      </c>
      <c r="Q42" s="339">
        <f t="shared" si="85"/>
        <v>402200.60869565216</v>
      </c>
      <c r="R42" s="340">
        <f t="shared" si="85"/>
        <v>331440.71333333338</v>
      </c>
      <c r="S42" s="338">
        <f t="shared" si="85"/>
        <v>295785.3362637363</v>
      </c>
      <c r="T42" s="338">
        <f t="shared" si="85"/>
        <v>332203.84565217386</v>
      </c>
      <c r="U42" s="341">
        <f t="shared" si="85"/>
        <v>472197.37173913047</v>
      </c>
      <c r="W42" s="7">
        <f>2796841.2/31</f>
        <v>90220.683870967754</v>
      </c>
      <c r="X42" s="321" t="s">
        <v>274</v>
      </c>
      <c r="Y42" s="338">
        <f t="shared" ref="Y42:AQ42" si="86">Y11/Y$38</f>
        <v>82250.038709677421</v>
      </c>
      <c r="Z42" s="338">
        <f t="shared" si="86"/>
        <v>67145.778571428571</v>
      </c>
      <c r="AA42" s="338">
        <f t="shared" si="86"/>
        <v>68711.329032258058</v>
      </c>
      <c r="AB42" s="338">
        <f t="shared" si="86"/>
        <v>87169.346666666665</v>
      </c>
      <c r="AC42" s="338">
        <f t="shared" si="86"/>
        <v>56521.045161290327</v>
      </c>
      <c r="AD42" s="338">
        <f t="shared" si="86"/>
        <v>74196.2</v>
      </c>
      <c r="AE42" s="338">
        <f t="shared" si="86"/>
        <v>60529.648387096779</v>
      </c>
      <c r="AF42" s="338">
        <f t="shared" si="86"/>
        <v>61569.441935483868</v>
      </c>
      <c r="AG42" s="338">
        <f t="shared" si="86"/>
        <v>66935.253333333327</v>
      </c>
      <c r="AH42" s="338">
        <f t="shared" si="86"/>
        <v>62751.438709677423</v>
      </c>
      <c r="AI42" s="338">
        <f t="shared" si="86"/>
        <v>116490.6</v>
      </c>
      <c r="AJ42" s="338">
        <f t="shared" si="86"/>
        <v>70323.132258064521</v>
      </c>
      <c r="AK42" s="339">
        <f t="shared" si="86"/>
        <v>72784.005753424673</v>
      </c>
      <c r="AL42" s="340">
        <f t="shared" si="86"/>
        <v>72668.524861878454</v>
      </c>
      <c r="AM42" s="339">
        <f t="shared" si="86"/>
        <v>72897.603804347818</v>
      </c>
      <c r="AN42" s="340">
        <f t="shared" si="86"/>
        <v>72887.602222222209</v>
      </c>
      <c r="AO42" s="338">
        <f t="shared" si="86"/>
        <v>72451.854945054947</v>
      </c>
      <c r="AP42" s="338">
        <f t="shared" si="86"/>
        <v>62968.797826086949</v>
      </c>
      <c r="AQ42" s="341">
        <f t="shared" si="86"/>
        <v>82826.409782608695</v>
      </c>
    </row>
    <row r="43" spans="2:43" x14ac:dyDescent="0.2">
      <c r="B43" s="343" t="s">
        <v>298</v>
      </c>
      <c r="C43" s="302">
        <f t="shared" ref="C43:U43" si="87">C12/C$38</f>
        <v>170337.73096773936</v>
      </c>
      <c r="D43" s="302">
        <f t="shared" si="87"/>
        <v>186721.50500001392</v>
      </c>
      <c r="E43" s="302">
        <f t="shared" si="87"/>
        <v>183434.21709678226</v>
      </c>
      <c r="F43" s="302">
        <f t="shared" si="87"/>
        <v>164969.47633334267</v>
      </c>
      <c r="G43" s="302">
        <f t="shared" si="87"/>
        <v>149147.59741936804</v>
      </c>
      <c r="H43" s="302">
        <f t="shared" si="87"/>
        <v>165457.64933334864</v>
      </c>
      <c r="I43" s="302">
        <f t="shared" si="87"/>
        <v>186771.70419356064</v>
      </c>
      <c r="J43" s="302">
        <f t="shared" si="87"/>
        <v>228518.16967743385</v>
      </c>
      <c r="K43" s="302">
        <f t="shared" si="87"/>
        <v>183931.74566668199</v>
      </c>
      <c r="L43" s="302">
        <f t="shared" si="87"/>
        <v>215381.77483872257</v>
      </c>
      <c r="M43" s="302">
        <f t="shared" si="87"/>
        <v>198843.82033334399</v>
      </c>
      <c r="N43" s="302">
        <f t="shared" si="87"/>
        <v>256503.43064516128</v>
      </c>
      <c r="O43" s="344">
        <f t="shared" si="87"/>
        <v>191006.07194521566</v>
      </c>
      <c r="P43" s="345">
        <f t="shared" si="87"/>
        <v>169787.4133701752</v>
      </c>
      <c r="Q43" s="344">
        <f t="shared" si="87"/>
        <v>211878.7741304457</v>
      </c>
      <c r="R43" s="345">
        <f t="shared" si="87"/>
        <v>179945.91700000621</v>
      </c>
      <c r="S43" s="302">
        <f t="shared" si="87"/>
        <v>159740.54164836428</v>
      </c>
      <c r="T43" s="302">
        <f t="shared" si="87"/>
        <v>199912.37456523141</v>
      </c>
      <c r="U43" s="346">
        <f t="shared" si="87"/>
        <v>223845.17369565999</v>
      </c>
      <c r="W43" s="7">
        <f>715254.05/31</f>
        <v>23072.711290322582</v>
      </c>
      <c r="X43" s="343" t="s">
        <v>298</v>
      </c>
      <c r="Y43" s="302">
        <f>Y12/Y$38</f>
        <v>18488.299354838709</v>
      </c>
      <c r="Z43" s="302">
        <f t="shared" ref="Z43:AQ43" si="88">Z12/Z$38</f>
        <v>21928.383214285681</v>
      </c>
      <c r="AA43" s="302">
        <f t="shared" si="88"/>
        <v>22396.459999999872</v>
      </c>
      <c r="AB43" s="302">
        <f t="shared" si="88"/>
        <v>19044.705999999936</v>
      </c>
      <c r="AC43" s="302">
        <f t="shared" si="88"/>
        <v>18234.767741935451</v>
      </c>
      <c r="AD43" s="302">
        <f t="shared" si="88"/>
        <v>20937.898666666635</v>
      </c>
      <c r="AE43" s="302">
        <f t="shared" si="88"/>
        <v>23494.956451612772</v>
      </c>
      <c r="AF43" s="302">
        <f t="shared" si="88"/>
        <v>25926.942903225772</v>
      </c>
      <c r="AG43" s="302">
        <f t="shared" si="88"/>
        <v>20196.167999999798</v>
      </c>
      <c r="AH43" s="302">
        <f t="shared" si="88"/>
        <v>25547.907096774095</v>
      </c>
      <c r="AI43" s="302">
        <f t="shared" si="88"/>
        <v>22669.356000000069</v>
      </c>
      <c r="AJ43" s="302">
        <f t="shared" si="88"/>
        <v>25780.278387096776</v>
      </c>
      <c r="AK43" s="344">
        <f t="shared" si="88"/>
        <v>22069.579616438299</v>
      </c>
      <c r="AL43" s="345">
        <f t="shared" si="88"/>
        <v>20144.63099447509</v>
      </c>
      <c r="AM43" s="344">
        <f t="shared" si="88"/>
        <v>23963.143206521672</v>
      </c>
      <c r="AN43" s="345">
        <f t="shared" si="88"/>
        <v>20904.691888888836</v>
      </c>
      <c r="AO43" s="302">
        <f t="shared" si="88"/>
        <v>19392.922417582377</v>
      </c>
      <c r="AP43" s="302">
        <f t="shared" si="88"/>
        <v>23238.738260869442</v>
      </c>
      <c r="AQ43" s="346">
        <f t="shared" si="88"/>
        <v>24687.548152173898</v>
      </c>
    </row>
    <row r="44" spans="2:43" x14ac:dyDescent="0.2">
      <c r="B44" s="425"/>
      <c r="C44" s="426"/>
      <c r="D44" s="426"/>
      <c r="E44" s="426"/>
      <c r="F44" s="426"/>
      <c r="G44" s="426"/>
      <c r="H44" s="426"/>
      <c r="I44" s="426"/>
      <c r="J44" s="426"/>
      <c r="K44" s="426"/>
      <c r="L44" s="426"/>
      <c r="M44" s="426"/>
      <c r="N44" s="426"/>
      <c r="O44" s="426"/>
      <c r="P44" s="426"/>
      <c r="Q44" s="426"/>
      <c r="R44" s="426"/>
      <c r="S44" s="426"/>
      <c r="T44" s="426"/>
      <c r="U44" s="426"/>
      <c r="W44" s="7"/>
      <c r="X44" s="320" t="s">
        <v>395</v>
      </c>
      <c r="Y44" s="458">
        <f>Y14/Y$38</f>
        <v>746495.1096774193</v>
      </c>
      <c r="Z44" s="458">
        <f t="shared" ref="Z44:AQ44" si="89">Z14/Z$38</f>
        <v>597889.51785714284</v>
      </c>
      <c r="AA44" s="458">
        <f t="shared" si="89"/>
        <v>601647.20815581246</v>
      </c>
      <c r="AB44" s="458">
        <f t="shared" si="89"/>
        <v>604236.66289308167</v>
      </c>
      <c r="AC44" s="458">
        <f t="shared" si="89"/>
        <v>550020.69646987226</v>
      </c>
      <c r="AD44" s="458">
        <f t="shared" si="89"/>
        <v>574748.3659748428</v>
      </c>
      <c r="AE44" s="458">
        <f t="shared" si="89"/>
        <v>550336.19342665852</v>
      </c>
      <c r="AF44" s="458">
        <f t="shared" si="89"/>
        <v>523724.1019780889</v>
      </c>
      <c r="AG44" s="458">
        <f t="shared" si="89"/>
        <v>538340.06352201256</v>
      </c>
      <c r="AH44" s="458">
        <f t="shared" si="89"/>
        <v>508254.41046865494</v>
      </c>
      <c r="AI44" s="458">
        <f t="shared" si="89"/>
        <v>647297.07603773591</v>
      </c>
      <c r="AJ44" s="458">
        <f t="shared" si="89"/>
        <v>593111.38898356666</v>
      </c>
      <c r="AK44" s="459">
        <f t="shared" si="89"/>
        <v>586194.06558025337</v>
      </c>
      <c r="AL44" s="460">
        <f t="shared" si="89"/>
        <v>613002.82215156883</v>
      </c>
      <c r="AM44" s="459">
        <f t="shared" si="89"/>
        <v>559822.40830086137</v>
      </c>
      <c r="AN44" s="460">
        <f t="shared" si="89"/>
        <v>650370.20392033539</v>
      </c>
      <c r="AO44" s="458">
        <f t="shared" si="89"/>
        <v>576046.07095168985</v>
      </c>
      <c r="AP44" s="458">
        <f t="shared" si="89"/>
        <v>537457.29416529939</v>
      </c>
      <c r="AQ44" s="461">
        <f t="shared" si="89"/>
        <v>582187.52243642334</v>
      </c>
    </row>
    <row r="45" spans="2:43" x14ac:dyDescent="0.2">
      <c r="B45" s="425"/>
      <c r="C45" s="426"/>
      <c r="D45" s="426"/>
      <c r="E45" s="426"/>
      <c r="F45" s="426"/>
      <c r="G45" s="426"/>
      <c r="H45" s="426"/>
      <c r="I45" s="426"/>
      <c r="J45" s="426"/>
      <c r="K45" s="426"/>
      <c r="L45" s="426"/>
      <c r="M45" s="426"/>
      <c r="N45" s="426"/>
      <c r="O45" s="426"/>
      <c r="P45" s="426"/>
      <c r="Q45" s="426"/>
      <c r="R45" s="426"/>
      <c r="S45" s="426"/>
      <c r="T45" s="426"/>
      <c r="U45" s="426"/>
      <c r="W45" s="7"/>
      <c r="X45" s="343" t="s">
        <v>397</v>
      </c>
      <c r="Y45" s="302">
        <f t="shared" ref="Y45:AQ45" si="90">Y15/Y$38</f>
        <v>89331.470967741945</v>
      </c>
      <c r="Z45" s="302">
        <f t="shared" si="90"/>
        <v>69160.560714285719</v>
      </c>
      <c r="AA45" s="302">
        <f t="shared" si="90"/>
        <v>72484.351612903221</v>
      </c>
      <c r="AB45" s="302">
        <f t="shared" si="90"/>
        <v>68334.613333333327</v>
      </c>
      <c r="AC45" s="302">
        <f t="shared" si="90"/>
        <v>56119.093548387093</v>
      </c>
      <c r="AD45" s="302">
        <f t="shared" si="90"/>
        <v>62562.939999999995</v>
      </c>
      <c r="AE45" s="302">
        <f t="shared" si="90"/>
        <v>50287.741935483871</v>
      </c>
      <c r="AF45" s="302">
        <f t="shared" si="90"/>
        <v>46137.56451612903</v>
      </c>
      <c r="AG45" s="302">
        <f t="shared" si="90"/>
        <v>59571.813333333332</v>
      </c>
      <c r="AH45" s="302">
        <f t="shared" si="90"/>
        <v>56010.948387096774</v>
      </c>
      <c r="AI45" s="302">
        <f t="shared" si="90"/>
        <v>73312.563333333324</v>
      </c>
      <c r="AJ45" s="302">
        <f t="shared" si="90"/>
        <v>141178.57419354838</v>
      </c>
      <c r="AK45" s="462">
        <f t="shared" si="90"/>
        <v>70432.864931506832</v>
      </c>
      <c r="AL45" s="463">
        <f t="shared" si="90"/>
        <v>69720.467955801098</v>
      </c>
      <c r="AM45" s="462">
        <f t="shared" si="90"/>
        <v>71133.646739130432</v>
      </c>
      <c r="AN45" s="463">
        <f t="shared" si="90"/>
        <v>77253.179999999993</v>
      </c>
      <c r="AO45" s="464">
        <f t="shared" si="90"/>
        <v>62270.532967032967</v>
      </c>
      <c r="AP45" s="464">
        <f t="shared" si="90"/>
        <v>51916.727173913045</v>
      </c>
      <c r="AQ45" s="465">
        <f t="shared" si="90"/>
        <v>90350.566304347827</v>
      </c>
    </row>
    <row r="46" spans="2:43" ht="15" customHeight="1" x14ac:dyDescent="0.2"/>
    <row r="49" spans="1:65" x14ac:dyDescent="0.2">
      <c r="W49" s="1" t="s">
        <v>306</v>
      </c>
      <c r="X49" s="90" t="s">
        <v>324</v>
      </c>
      <c r="Y49" s="91" t="s">
        <v>92</v>
      </c>
      <c r="Z49" s="91" t="s">
        <v>93</v>
      </c>
      <c r="AA49" s="91" t="s">
        <v>61</v>
      </c>
      <c r="AB49" s="91" t="s">
        <v>62</v>
      </c>
      <c r="AC49" s="91" t="s">
        <v>63</v>
      </c>
      <c r="AD49" s="91" t="s">
        <v>64</v>
      </c>
      <c r="AE49" s="91" t="s">
        <v>65</v>
      </c>
      <c r="AF49" s="91" t="s">
        <v>66</v>
      </c>
      <c r="AG49" s="91" t="s">
        <v>67</v>
      </c>
      <c r="AH49" s="91" t="s">
        <v>68</v>
      </c>
      <c r="AI49" s="91" t="s">
        <v>69</v>
      </c>
      <c r="AJ49" s="91" t="s">
        <v>86</v>
      </c>
    </row>
    <row r="50" spans="1:65" x14ac:dyDescent="0.2">
      <c r="X50" s="342" t="s">
        <v>300</v>
      </c>
      <c r="Y50" s="355">
        <v>-0.14548063102595654</v>
      </c>
      <c r="Z50" s="355">
        <f>Z40/Y40-1</f>
        <v>-0.20053071922037446</v>
      </c>
      <c r="AA50" s="355">
        <f t="shared" ref="AA50:AJ50" si="91">AA40/Z40-1</f>
        <v>1.1846516062355095E-2</v>
      </c>
      <c r="AB50" s="355">
        <f t="shared" si="91"/>
        <v>-3.7973268981507102E-3</v>
      </c>
      <c r="AC50" s="355">
        <f t="shared" si="91"/>
        <v>-9.8205878049882123E-2</v>
      </c>
      <c r="AD50" s="355">
        <f t="shared" si="91"/>
        <v>5.0603186343353812E-2</v>
      </c>
      <c r="AE50" s="355">
        <f t="shared" si="91"/>
        <v>-5.6800194629585743E-2</v>
      </c>
      <c r="AF50" s="355">
        <f t="shared" si="91"/>
        <v>-5.0768909655348082E-2</v>
      </c>
      <c r="AG50" s="355">
        <f t="shared" si="91"/>
        <v>4.8548779379192997E-2</v>
      </c>
      <c r="AH50" s="355">
        <f t="shared" si="91"/>
        <v>-5.6033793855647773E-2</v>
      </c>
      <c r="AI50" s="355">
        <f t="shared" si="91"/>
        <v>0.27413276033947609</v>
      </c>
      <c r="AJ50" s="355">
        <f t="shared" si="91"/>
        <v>1.7668176391711699E-2</v>
      </c>
    </row>
    <row r="51" spans="1:65" ht="30" x14ac:dyDescent="0.2">
      <c r="X51" s="320" t="s">
        <v>305</v>
      </c>
      <c r="Y51" s="359">
        <v>-0.14996784370825667</v>
      </c>
      <c r="Z51" s="359">
        <f t="shared" ref="Z51:AJ51" si="92">Z41/Y41-1</f>
        <v>-0.21200671302666807</v>
      </c>
      <c r="AA51" s="359">
        <f t="shared" si="92"/>
        <v>1.0177405438079656E-2</v>
      </c>
      <c r="AB51" s="359">
        <f t="shared" si="92"/>
        <v>-2.9892386589365771E-2</v>
      </c>
      <c r="AC51" s="359">
        <f t="shared" si="92"/>
        <v>-6.1601527229999453E-2</v>
      </c>
      <c r="AD51" s="359">
        <f t="shared" si="92"/>
        <v>1.9817577376529449E-2</v>
      </c>
      <c r="AE51" s="359">
        <f t="shared" si="92"/>
        <v>-4.6421124676102821E-2</v>
      </c>
      <c r="AF51" s="359">
        <f t="shared" si="92"/>
        <v>-6.5528968219371708E-2</v>
      </c>
      <c r="AG51" s="359">
        <f t="shared" si="92"/>
        <v>5.796507716370547E-2</v>
      </c>
      <c r="AH51" s="359">
        <f t="shared" si="92"/>
        <v>-6.7707679288214306E-2</v>
      </c>
      <c r="AI51" s="359">
        <f t="shared" si="92"/>
        <v>0.21896719744454241</v>
      </c>
      <c r="AJ51" s="359">
        <f t="shared" si="92"/>
        <v>9.4946275743510444E-2</v>
      </c>
    </row>
    <row r="52" spans="1:65" x14ac:dyDescent="0.2">
      <c r="X52" s="321" t="s">
        <v>274</v>
      </c>
      <c r="Y52" s="363">
        <v>-8.8346095588122897E-2</v>
      </c>
      <c r="Z52" s="363">
        <f t="shared" ref="Z52:AJ52" si="93">Z42/Y42-1</f>
        <v>-0.18363833470721158</v>
      </c>
      <c r="AA52" s="363">
        <f t="shared" si="93"/>
        <v>2.3315694510327001E-2</v>
      </c>
      <c r="AB52" s="363">
        <f t="shared" si="93"/>
        <v>0.2686313580944284</v>
      </c>
      <c r="AC52" s="363">
        <f t="shared" si="93"/>
        <v>-0.35159494337584807</v>
      </c>
      <c r="AD52" s="363">
        <f t="shared" si="93"/>
        <v>0.3127181174422955</v>
      </c>
      <c r="AE52" s="363">
        <f t="shared" si="93"/>
        <v>-0.18419476486535991</v>
      </c>
      <c r="AF52" s="363">
        <f t="shared" si="93"/>
        <v>1.7178251916109666E-2</v>
      </c>
      <c r="AG52" s="363">
        <f t="shared" si="93"/>
        <v>8.715056088168005E-2</v>
      </c>
      <c r="AH52" s="363">
        <f t="shared" si="93"/>
        <v>-6.2505397608951574E-2</v>
      </c>
      <c r="AI52" s="363">
        <f t="shared" si="93"/>
        <v>0.85638134193144833</v>
      </c>
      <c r="AJ52" s="363">
        <f t="shared" si="93"/>
        <v>-0.39631925444572769</v>
      </c>
    </row>
    <row r="53" spans="1:65" x14ac:dyDescent="0.2">
      <c r="X53" s="343" t="s">
        <v>298</v>
      </c>
      <c r="Y53" s="316">
        <v>-0.19869411434999917</v>
      </c>
      <c r="Z53" s="316">
        <f t="shared" ref="Z53:AJ53" si="94">Z43/Y43-1</f>
        <v>0.18606816091749634</v>
      </c>
      <c r="AA53" s="316">
        <f t="shared" si="94"/>
        <v>2.1345704384135855E-2</v>
      </c>
      <c r="AB53" s="316">
        <f t="shared" si="94"/>
        <v>-0.14965552591793319</v>
      </c>
      <c r="AC53" s="316">
        <f t="shared" si="94"/>
        <v>-4.2528262608227618E-2</v>
      </c>
      <c r="AD53" s="316">
        <f t="shared" si="94"/>
        <v>0.14824049107654114</v>
      </c>
      <c r="AE53" s="316">
        <f t="shared" si="94"/>
        <v>0.12212580763976089</v>
      </c>
      <c r="AF53" s="316">
        <f t="shared" si="94"/>
        <v>0.10351100061077401</v>
      </c>
      <c r="AG53" s="316">
        <f t="shared" si="94"/>
        <v>-0.22103550444094067</v>
      </c>
      <c r="AH53" s="316">
        <f t="shared" si="94"/>
        <v>0.26498784803009912</v>
      </c>
      <c r="AI53" s="316">
        <f t="shared" si="94"/>
        <v>-0.11267267748666188</v>
      </c>
      <c r="AJ53" s="316">
        <f t="shared" si="94"/>
        <v>0.13723029393056851</v>
      </c>
    </row>
    <row r="56" spans="1:65" x14ac:dyDescent="0.2">
      <c r="AL56" s="7">
        <v>4343821.7199999876</v>
      </c>
      <c r="AM56" s="7">
        <f>AK62-AL56</f>
        <v>7656178.2800000124</v>
      </c>
      <c r="AN56" s="8">
        <f>AL56/$AK$62</f>
        <v>0.36198514333333232</v>
      </c>
      <c r="AO56" s="8">
        <f>AM56/$AK$62</f>
        <v>0.63801485666666768</v>
      </c>
    </row>
    <row r="57" spans="1:65" s="390" customFormat="1" ht="31.5" x14ac:dyDescent="0.2">
      <c r="B57" s="382" t="s">
        <v>365</v>
      </c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3"/>
      <c r="Q57" s="383"/>
      <c r="R57" s="383"/>
      <c r="S57" s="383"/>
      <c r="T57" s="383"/>
      <c r="U57" s="383"/>
      <c r="X57" s="409" t="s">
        <v>366</v>
      </c>
      <c r="Y57" s="384"/>
      <c r="Z57" s="458">
        <v>23226680.765000001</v>
      </c>
      <c r="AA57" s="383"/>
      <c r="AB57" s="383"/>
      <c r="AC57" s="383"/>
      <c r="AD57" s="383"/>
      <c r="AE57" s="384"/>
      <c r="AF57" s="384"/>
      <c r="AG57" s="383"/>
      <c r="AH57" s="383"/>
      <c r="AI57" s="383"/>
      <c r="AJ57" s="406"/>
      <c r="AK57" s="398"/>
      <c r="AL57" s="383"/>
      <c r="AM57" s="383"/>
      <c r="AN57" s="383"/>
      <c r="AO57" s="383"/>
      <c r="AP57" s="383"/>
      <c r="AQ57" s="383"/>
      <c r="AT57" s="382" t="s">
        <v>367</v>
      </c>
      <c r="AU57" s="384"/>
      <c r="AV57" s="383"/>
      <c r="AW57" s="383"/>
      <c r="AX57" s="383"/>
      <c r="AY57" s="383"/>
      <c r="AZ57" s="383"/>
      <c r="BA57" s="384"/>
      <c r="BB57" s="384"/>
      <c r="BC57" s="383"/>
      <c r="BD57" s="383"/>
      <c r="BE57" s="383"/>
      <c r="BF57" s="383"/>
      <c r="BG57" s="384"/>
      <c r="BH57" s="383"/>
      <c r="BI57" s="383"/>
      <c r="BJ57" s="383"/>
      <c r="BK57" s="383"/>
      <c r="BL57" s="383"/>
      <c r="BM57" s="383"/>
    </row>
    <row r="58" spans="1:65" x14ac:dyDescent="0.2">
      <c r="B58" s="403" t="s">
        <v>276</v>
      </c>
      <c r="C58" s="94" t="s">
        <v>92</v>
      </c>
      <c r="D58" s="94" t="s">
        <v>93</v>
      </c>
      <c r="E58" s="94" t="s">
        <v>61</v>
      </c>
      <c r="F58" s="94" t="s">
        <v>62</v>
      </c>
      <c r="G58" s="94" t="s">
        <v>63</v>
      </c>
      <c r="H58" s="94" t="s">
        <v>64</v>
      </c>
      <c r="I58" s="94" t="s">
        <v>65</v>
      </c>
      <c r="J58" s="94" t="s">
        <v>66</v>
      </c>
      <c r="K58" s="94" t="s">
        <v>67</v>
      </c>
      <c r="L58" s="94" t="s">
        <v>68</v>
      </c>
      <c r="M58" s="94" t="s">
        <v>69</v>
      </c>
      <c r="N58" s="94" t="s">
        <v>86</v>
      </c>
      <c r="O58" s="95" t="s">
        <v>277</v>
      </c>
      <c r="P58" s="404" t="s">
        <v>278</v>
      </c>
      <c r="Q58" s="95" t="s">
        <v>279</v>
      </c>
      <c r="R58" s="404" t="s">
        <v>280</v>
      </c>
      <c r="S58" s="94" t="s">
        <v>126</v>
      </c>
      <c r="T58" s="94" t="s">
        <v>281</v>
      </c>
      <c r="U58" s="405" t="s">
        <v>150</v>
      </c>
      <c r="X58" s="90" t="s">
        <v>299</v>
      </c>
      <c r="Y58" s="91" t="s">
        <v>92</v>
      </c>
      <c r="Z58" s="91" t="s">
        <v>93</v>
      </c>
      <c r="AA58" s="91" t="s">
        <v>61</v>
      </c>
      <c r="AB58" s="91" t="s">
        <v>62</v>
      </c>
      <c r="AC58" s="91" t="s">
        <v>63</v>
      </c>
      <c r="AD58" s="91" t="s">
        <v>64</v>
      </c>
      <c r="AE58" s="91" t="s">
        <v>65</v>
      </c>
      <c r="AF58" s="91" t="s">
        <v>66</v>
      </c>
      <c r="AG58" s="91" t="s">
        <v>67</v>
      </c>
      <c r="AH58" s="91" t="s">
        <v>68</v>
      </c>
      <c r="AI58" s="91" t="s">
        <v>69</v>
      </c>
      <c r="AJ58" s="91" t="s">
        <v>86</v>
      </c>
      <c r="AK58" s="92" t="s">
        <v>277</v>
      </c>
      <c r="AL58" s="428" t="s">
        <v>278</v>
      </c>
      <c r="AM58" s="92" t="s">
        <v>279</v>
      </c>
      <c r="AN58" s="285" t="s">
        <v>280</v>
      </c>
      <c r="AO58" s="91" t="s">
        <v>126</v>
      </c>
      <c r="AP58" s="91" t="s">
        <v>281</v>
      </c>
      <c r="AQ58" s="287" t="s">
        <v>150</v>
      </c>
      <c r="AT58" s="90" t="s">
        <v>320</v>
      </c>
      <c r="AU58" s="91" t="s">
        <v>92</v>
      </c>
      <c r="AV58" s="91" t="s">
        <v>93</v>
      </c>
      <c r="AW58" s="91" t="s">
        <v>61</v>
      </c>
      <c r="AX58" s="91" t="s">
        <v>62</v>
      </c>
      <c r="AY58" s="91" t="s">
        <v>63</v>
      </c>
      <c r="AZ58" s="91" t="s">
        <v>64</v>
      </c>
      <c r="BA58" s="91" t="s">
        <v>65</v>
      </c>
      <c r="BB58" s="91" t="s">
        <v>66</v>
      </c>
      <c r="BC58" s="91" t="s">
        <v>67</v>
      </c>
      <c r="BD58" s="91" t="s">
        <v>68</v>
      </c>
      <c r="BE58" s="91" t="s">
        <v>69</v>
      </c>
      <c r="BF58" s="91" t="s">
        <v>86</v>
      </c>
      <c r="BG58" s="92" t="s">
        <v>277</v>
      </c>
      <c r="BH58" s="285" t="s">
        <v>278</v>
      </c>
      <c r="BI58" s="92" t="s">
        <v>279</v>
      </c>
      <c r="BJ58" s="285" t="s">
        <v>280</v>
      </c>
      <c r="BK58" s="91" t="s">
        <v>126</v>
      </c>
      <c r="BL58" s="91" t="s">
        <v>281</v>
      </c>
      <c r="BM58" s="287" t="s">
        <v>150</v>
      </c>
    </row>
    <row r="59" spans="1:65" x14ac:dyDescent="0.2">
      <c r="B59" s="342" t="s">
        <v>300</v>
      </c>
      <c r="C59" s="351">
        <f>C60+C61+C62</f>
        <v>99061446.350911185</v>
      </c>
      <c r="D59" s="351">
        <f t="shared" ref="D59:O59" si="95">D60+D61+D62</f>
        <v>71731575.67879197</v>
      </c>
      <c r="E59" s="351">
        <f t="shared" si="95"/>
        <v>79220420.388612419</v>
      </c>
      <c r="F59" s="351">
        <f t="shared" si="95"/>
        <v>81951907.515910432</v>
      </c>
      <c r="G59" s="351">
        <f t="shared" si="95"/>
        <v>78847803.693944991</v>
      </c>
      <c r="H59" s="351">
        <f t="shared" si="95"/>
        <v>75920356.081958622</v>
      </c>
      <c r="I59" s="351">
        <f t="shared" si="95"/>
        <v>77009398.031348377</v>
      </c>
      <c r="J59" s="351">
        <f t="shared" si="95"/>
        <v>73330394.769742459</v>
      </c>
      <c r="K59" s="351">
        <f t="shared" si="95"/>
        <v>74938091.509468511</v>
      </c>
      <c r="L59" s="351">
        <f t="shared" si="95"/>
        <v>77288871.132085502</v>
      </c>
      <c r="M59" s="351">
        <f t="shared" si="95"/>
        <v>83121007.253965974</v>
      </c>
      <c r="N59" s="351">
        <f t="shared" si="95"/>
        <v>79375529.206313863</v>
      </c>
      <c r="O59" s="352">
        <f t="shared" si="95"/>
        <v>951796801.61305463</v>
      </c>
      <c r="P59" s="353">
        <f t="shared" ref="P59:P62" si="96">SUM(C59:H59)</f>
        <v>486733509.71012962</v>
      </c>
      <c r="Q59" s="352">
        <f t="shared" ref="Q59:Q62" si="97">SUM(I59:N59)</f>
        <v>465063291.90292466</v>
      </c>
      <c r="R59" s="353">
        <f t="shared" ref="R59:R62" si="98">SUM(C59:E59)</f>
        <v>250013442.41831556</v>
      </c>
      <c r="S59" s="351">
        <f t="shared" ref="S59:S62" si="99">SUM(F59:H59)</f>
        <v>236720067.29181406</v>
      </c>
      <c r="T59" s="351">
        <f t="shared" ref="T59:T62" si="100">SUM(I59:K59)</f>
        <v>225277884.31055933</v>
      </c>
      <c r="U59" s="354">
        <f t="shared" ref="U59:U62" si="101">SUM(L59:N59)</f>
        <v>239785407.59236532</v>
      </c>
      <c r="X59" s="447" t="s">
        <v>388</v>
      </c>
      <c r="Y59" s="351">
        <f>Y60+Y61+Y62</f>
        <v>23226680.765000001</v>
      </c>
      <c r="Z59" s="351">
        <f t="shared" ref="Z59:AK59" si="102">Z60+Z61+Z62</f>
        <v>16184643.320878342</v>
      </c>
      <c r="AA59" s="351">
        <f t="shared" si="102"/>
        <v>18883027.534689799</v>
      </c>
      <c r="AB59" s="351">
        <f t="shared" si="102"/>
        <v>18605315.722396392</v>
      </c>
      <c r="AC59" s="351">
        <f t="shared" si="102"/>
        <v>17245454.18193569</v>
      </c>
      <c r="AD59" s="351">
        <f t="shared" si="102"/>
        <v>17507669.333204199</v>
      </c>
      <c r="AE59" s="351">
        <f t="shared" si="102"/>
        <v>17209968.630219519</v>
      </c>
      <c r="AF59" s="351">
        <f t="shared" si="102"/>
        <v>16413118.011994272</v>
      </c>
      <c r="AG59" s="351">
        <f t="shared" si="102"/>
        <v>16708599.314886792</v>
      </c>
      <c r="AH59" s="351">
        <f t="shared" si="102"/>
        <v>16115525.73188914</v>
      </c>
      <c r="AI59" s="351">
        <f t="shared" si="102"/>
        <v>19654694.353094429</v>
      </c>
      <c r="AJ59" s="351">
        <f t="shared" si="102"/>
        <v>19852333.722794421</v>
      </c>
      <c r="AK59" s="352">
        <f t="shared" si="102"/>
        <v>217607030.62298301</v>
      </c>
      <c r="AL59" s="429">
        <f t="shared" ref="AL59:AL62" si="103">SUM(Y59:AD59)</f>
        <v>111652790.85810442</v>
      </c>
      <c r="AM59" s="352">
        <f t="shared" ref="AM59:AM62" si="104">SUM(AE59:AJ59)</f>
        <v>105954239.76487857</v>
      </c>
      <c r="AN59" s="353">
        <f t="shared" ref="AN59:AN62" si="105">SUM(Y59:AA59)</f>
        <v>58294351.620568141</v>
      </c>
      <c r="AO59" s="351">
        <f t="shared" ref="AO59:AO62" si="106">SUM(AB59:AD59)</f>
        <v>53358439.237536281</v>
      </c>
      <c r="AP59" s="351">
        <f t="shared" ref="AP59:AP62" si="107">SUM(AE59:AG59)</f>
        <v>50331685.957100585</v>
      </c>
      <c r="AQ59" s="354">
        <f t="shared" ref="AQ59:AQ62" si="108">SUM(AH59:AJ59)</f>
        <v>55622553.807777993</v>
      </c>
      <c r="AR59" s="399" t="s">
        <v>346</v>
      </c>
      <c r="AS59" s="373">
        <v>1.1200000000000001</v>
      </c>
      <c r="AT59" s="342" t="s">
        <v>300</v>
      </c>
      <c r="AU59" s="355">
        <f>Y59*$AS59/C59</f>
        <v>0.26260349929325177</v>
      </c>
      <c r="AV59" s="355">
        <f t="shared" ref="AV59:AV62" si="109">Z59*$AS59/D59</f>
        <v>0.25270322515364851</v>
      </c>
      <c r="AW59" s="355">
        <f t="shared" ref="AW59:AW62" si="110">AA59*$AS59/E59</f>
        <v>0.26696388046298036</v>
      </c>
      <c r="AX59" s="355">
        <f t="shared" ref="AX59:AX62" si="111">AB59*$AS59/F59</f>
        <v>0.25427051353305485</v>
      </c>
      <c r="AY59" s="355">
        <f t="shared" ref="AY59:AY62" si="112">AC59*$AS59/G59</f>
        <v>0.24496444769394682</v>
      </c>
      <c r="AZ59" s="355">
        <f t="shared" ref="AZ59:AZ62" si="113">AD59*$AS59/H59</f>
        <v>0.25827842050715044</v>
      </c>
      <c r="BA59" s="355">
        <f t="shared" ref="BA59:BA62" si="114">AE59*$AS59/I59</f>
        <v>0.25029626719065484</v>
      </c>
      <c r="BB59" s="355">
        <f t="shared" ref="BB59:BB62" si="115">AF59*$AS59/J59</f>
        <v>0.25068312029623274</v>
      </c>
      <c r="BC59" s="355">
        <f t="shared" ref="BC59:BC62" si="116">AG59*$AS59/K59</f>
        <v>0.24972121461498284</v>
      </c>
      <c r="BD59" s="355">
        <f t="shared" ref="BD59:BD62" si="117">AH59*$AS59/L59</f>
        <v>0.2335315363691845</v>
      </c>
      <c r="BE59" s="355">
        <f t="shared" ref="BE59:BE62" si="118">AI59*$AS59/M59</f>
        <v>0.26483386574235046</v>
      </c>
      <c r="BF59" s="355">
        <f t="shared" ref="BF59:BF62" si="119">AJ59*$AS59/N59</f>
        <v>0.28011925075469124</v>
      </c>
      <c r="BG59" s="356">
        <f t="shared" ref="BG59:BG61" si="120">AK59*$AS59/O59</f>
        <v>0.25606292633542949</v>
      </c>
      <c r="BH59" s="357">
        <f t="shared" ref="BH59:BH62" si="121">AL59*$AS59/P59</f>
        <v>0.25691908049550605</v>
      </c>
      <c r="BI59" s="356">
        <f t="shared" ref="BI59:BI62" si="122">AM59*$AS59/Q59</f>
        <v>0.2551668785792589</v>
      </c>
      <c r="BJ59" s="357">
        <f t="shared" ref="BJ59:BJ62" si="123">AN59*$AS59/R59</f>
        <v>0.26114465359744721</v>
      </c>
      <c r="BK59" s="355">
        <f t="shared" ref="BK59:BK62" si="124">AO59*$AS59/S59</f>
        <v>0.25245621391434619</v>
      </c>
      <c r="BL59" s="355">
        <f t="shared" ref="BL59:BL62" si="125">AP59*$AS59/T59</f>
        <v>0.2502309023563144</v>
      </c>
      <c r="BM59" s="358">
        <f t="shared" ref="BM59:BM62" si="126">AQ59*$AS59/U59</f>
        <v>0.25980421782219776</v>
      </c>
    </row>
    <row r="60" spans="1:65" ht="33" x14ac:dyDescent="0.2">
      <c r="A60" s="1" t="s">
        <v>321</v>
      </c>
      <c r="B60" s="320" t="s">
        <v>305</v>
      </c>
      <c r="C60" s="347">
        <f>$O$60*C71</f>
        <v>78968728.885571644</v>
      </c>
      <c r="D60" s="347">
        <f t="shared" ref="D60:N60" si="127">$O$60*D71</f>
        <v>58442846.769470386</v>
      </c>
      <c r="E60" s="347">
        <f t="shared" si="127"/>
        <v>61657160.206484519</v>
      </c>
      <c r="F60" s="347">
        <f t="shared" si="127"/>
        <v>60719896.572761029</v>
      </c>
      <c r="G60" s="347">
        <f t="shared" si="127"/>
        <v>62077813.56754218</v>
      </c>
      <c r="H60" s="347">
        <f t="shared" si="127"/>
        <v>56610226.860103719</v>
      </c>
      <c r="I60" s="347">
        <f t="shared" si="127"/>
        <v>57583159.83272516</v>
      </c>
      <c r="J60" s="347">
        <f t="shared" si="127"/>
        <v>52901145.627682924</v>
      </c>
      <c r="K60" s="347">
        <f t="shared" si="127"/>
        <v>55680593.705863751</v>
      </c>
      <c r="L60" s="347">
        <f t="shared" si="127"/>
        <v>57502762.721424527</v>
      </c>
      <c r="M60" s="347">
        <f t="shared" si="127"/>
        <v>58008238.759199388</v>
      </c>
      <c r="N60" s="347">
        <f t="shared" si="127"/>
        <v>57929537.83873836</v>
      </c>
      <c r="O60" s="348">
        <v>718082111.34756792</v>
      </c>
      <c r="P60" s="349">
        <f t="shared" si="96"/>
        <v>378476672.86193347</v>
      </c>
      <c r="Q60" s="348">
        <f t="shared" si="97"/>
        <v>339605438.48563415</v>
      </c>
      <c r="R60" s="349">
        <f t="shared" si="98"/>
        <v>199068735.86152655</v>
      </c>
      <c r="S60" s="347">
        <f t="shared" si="99"/>
        <v>179407937.00040692</v>
      </c>
      <c r="T60" s="347">
        <f t="shared" si="100"/>
        <v>166164899.16627184</v>
      </c>
      <c r="U60" s="350">
        <f t="shared" si="101"/>
        <v>173440539.31936228</v>
      </c>
      <c r="W60" s="1" t="s">
        <v>321</v>
      </c>
      <c r="X60" s="448" t="s">
        <v>305</v>
      </c>
      <c r="Y60" s="347">
        <v>19601680.765000001</v>
      </c>
      <c r="Z60" s="347">
        <v>13951219.353999998</v>
      </c>
      <c r="AA60" s="347">
        <v>15859315.39996757</v>
      </c>
      <c r="AB60" s="347">
        <v>14891717.959314026</v>
      </c>
      <c r="AC60" s="347">
        <v>14441552.009856788</v>
      </c>
      <c r="AD60" s="347">
        <v>14253252.810023846</v>
      </c>
      <c r="AE60" s="347">
        <v>14045317.537863031</v>
      </c>
      <c r="AF60" s="347">
        <v>13127912.719705531</v>
      </c>
      <c r="AG60" s="347">
        <v>13439764.515985955</v>
      </c>
      <c r="AH60" s="347">
        <v>12949109.342952287</v>
      </c>
      <c r="AI60" s="347">
        <v>15267217.710917965</v>
      </c>
      <c r="AJ60" s="347">
        <v>16278970.497396002</v>
      </c>
      <c r="AK60" s="348">
        <v>178107030.62298301</v>
      </c>
      <c r="AL60" s="430">
        <f t="shared" si="103"/>
        <v>92998738.298162222</v>
      </c>
      <c r="AM60" s="348">
        <f t="shared" si="104"/>
        <v>85108292.324820772</v>
      </c>
      <c r="AN60" s="349">
        <f t="shared" si="105"/>
        <v>49412215.518967569</v>
      </c>
      <c r="AO60" s="347">
        <f t="shared" si="106"/>
        <v>43586522.77919466</v>
      </c>
      <c r="AP60" s="347">
        <f t="shared" si="107"/>
        <v>40612994.773554519</v>
      </c>
      <c r="AQ60" s="350">
        <f t="shared" si="108"/>
        <v>44495297.551266253</v>
      </c>
      <c r="AR60" s="399" t="s">
        <v>344</v>
      </c>
      <c r="AS60" s="373">
        <v>1.1200000000000001</v>
      </c>
      <c r="AT60" s="320" t="s">
        <v>305</v>
      </c>
      <c r="AU60" s="482">
        <f t="shared" ref="AU60:AU61" si="128">Y60*$AS60/C60</f>
        <v>0.27800729183081979</v>
      </c>
      <c r="AV60" s="482">
        <f t="shared" si="109"/>
        <v>0.26736147433260288</v>
      </c>
      <c r="AW60" s="359">
        <f t="shared" si="110"/>
        <v>0.2880838687425567</v>
      </c>
      <c r="AX60" s="359">
        <f t="shared" si="111"/>
        <v>0.27468301258460631</v>
      </c>
      <c r="AY60" s="359">
        <f t="shared" si="112"/>
        <v>0.26055264065383538</v>
      </c>
      <c r="AZ60" s="359">
        <f t="shared" si="113"/>
        <v>0.28199221293842136</v>
      </c>
      <c r="BA60" s="359">
        <f t="shared" si="114"/>
        <v>0.27318326552595035</v>
      </c>
      <c r="BB60" s="359">
        <f t="shared" si="115"/>
        <v>0.27793844673140777</v>
      </c>
      <c r="BC60" s="359">
        <f t="shared" si="116"/>
        <v>0.2703372082815827</v>
      </c>
      <c r="BD60" s="359">
        <f t="shared" si="117"/>
        <v>0.25221401160092433</v>
      </c>
      <c r="BE60" s="359">
        <f t="shared" si="118"/>
        <v>0.29477336671450632</v>
      </c>
      <c r="BF60" s="359">
        <f t="shared" si="119"/>
        <v>0.31473489410252486</v>
      </c>
      <c r="BG60" s="360">
        <f t="shared" si="120"/>
        <v>0.27779535396501231</v>
      </c>
      <c r="BH60" s="361">
        <f t="shared" si="121"/>
        <v>0.27520477314050545</v>
      </c>
      <c r="BI60" s="360">
        <f t="shared" si="122"/>
        <v>0.28068245263931935</v>
      </c>
      <c r="BJ60" s="361">
        <f t="shared" si="123"/>
        <v>0.27800287745705937</v>
      </c>
      <c r="BK60" s="359">
        <f t="shared" si="124"/>
        <v>0.27210003263449434</v>
      </c>
      <c r="BL60" s="359">
        <f t="shared" si="125"/>
        <v>0.27374345830321983</v>
      </c>
      <c r="BM60" s="362">
        <f t="shared" si="126"/>
        <v>0.28733036378338128</v>
      </c>
    </row>
    <row r="61" spans="1:65" x14ac:dyDescent="0.2">
      <c r="A61" s="7">
        <f>MAX(C42:N42)</f>
        <v>581582.58064516133</v>
      </c>
      <c r="B61" s="321" t="s">
        <v>274</v>
      </c>
      <c r="C61" s="338">
        <f>Y61*1.12/$BG$61</f>
        <v>13874286.082059536</v>
      </c>
      <c r="D61" s="338">
        <f t="shared" ref="D61:N61" si="129">Z61*1.12/$BG$61</f>
        <v>7789072.8881737748</v>
      </c>
      <c r="E61" s="338">
        <f t="shared" si="129"/>
        <v>10709975.221238941</v>
      </c>
      <c r="F61" s="338">
        <f t="shared" si="129"/>
        <v>13630877.554304106</v>
      </c>
      <c r="G61" s="338">
        <f t="shared" si="129"/>
        <v>9249524.0547063556</v>
      </c>
      <c r="H61" s="338">
        <f t="shared" si="129"/>
        <v>10953383.748994371</v>
      </c>
      <c r="I61" s="338">
        <f t="shared" si="129"/>
        <v>9736341.1102172174</v>
      </c>
      <c r="J61" s="338">
        <f t="shared" si="129"/>
        <v>9736341.1102172174</v>
      </c>
      <c r="K61" s="338">
        <f t="shared" si="129"/>
        <v>11196792.276749801</v>
      </c>
      <c r="L61" s="338">
        <f t="shared" si="129"/>
        <v>9249524.0547063556</v>
      </c>
      <c r="M61" s="338">
        <f t="shared" si="129"/>
        <v>16064962.83185841</v>
      </c>
      <c r="N61" s="338">
        <f t="shared" si="129"/>
        <v>11683609.332260663</v>
      </c>
      <c r="O61" s="339">
        <v>133874690.26548675</v>
      </c>
      <c r="P61" s="340">
        <f t="shared" si="96"/>
        <v>66207119.549477085</v>
      </c>
      <c r="Q61" s="339">
        <f t="shared" si="97"/>
        <v>67667570.716009662</v>
      </c>
      <c r="R61" s="340">
        <f t="shared" si="98"/>
        <v>32373334.191472251</v>
      </c>
      <c r="S61" s="338">
        <f t="shared" si="99"/>
        <v>33833785.358004831</v>
      </c>
      <c r="T61" s="338">
        <f t="shared" si="100"/>
        <v>30669474.497184236</v>
      </c>
      <c r="U61" s="341">
        <f t="shared" si="101"/>
        <v>36998096.21882543</v>
      </c>
      <c r="W61" s="7">
        <f>MAX(Y42:AJ42)</f>
        <v>116490.6</v>
      </c>
      <c r="X61" s="449" t="s">
        <v>274</v>
      </c>
      <c r="Y61" s="338">
        <v>2850000</v>
      </c>
      <c r="Z61" s="338">
        <v>1600000</v>
      </c>
      <c r="AA61" s="338">
        <v>2200000</v>
      </c>
      <c r="AB61" s="338">
        <v>2800000</v>
      </c>
      <c r="AC61" s="338">
        <v>1900000</v>
      </c>
      <c r="AD61" s="338">
        <v>2250000</v>
      </c>
      <c r="AE61" s="338">
        <v>2000000</v>
      </c>
      <c r="AF61" s="338">
        <v>2000000</v>
      </c>
      <c r="AG61" s="338">
        <v>2300000</v>
      </c>
      <c r="AH61" s="338">
        <v>1900000</v>
      </c>
      <c r="AI61" s="338">
        <v>3300000</v>
      </c>
      <c r="AJ61" s="338">
        <v>2400000</v>
      </c>
      <c r="AK61" s="339">
        <v>27500000</v>
      </c>
      <c r="AL61" s="431">
        <f t="shared" si="103"/>
        <v>13600000</v>
      </c>
      <c r="AM61" s="339">
        <f t="shared" si="104"/>
        <v>13900000</v>
      </c>
      <c r="AN61" s="340">
        <f t="shared" si="105"/>
        <v>6650000</v>
      </c>
      <c r="AO61" s="338">
        <f t="shared" si="106"/>
        <v>6950000</v>
      </c>
      <c r="AP61" s="338">
        <f t="shared" si="107"/>
        <v>6300000</v>
      </c>
      <c r="AQ61" s="341">
        <f t="shared" si="108"/>
        <v>7600000</v>
      </c>
      <c r="AR61" s="399"/>
      <c r="AS61" s="373">
        <v>1.1200000000000001</v>
      </c>
      <c r="AT61" s="321" t="s">
        <v>274</v>
      </c>
      <c r="AU61" s="483">
        <f t="shared" si="128"/>
        <v>0.23006589175982822</v>
      </c>
      <c r="AV61" s="483">
        <f t="shared" si="109"/>
        <v>0.23006589175982822</v>
      </c>
      <c r="AW61" s="363">
        <f t="shared" si="110"/>
        <v>0.23006589175982822</v>
      </c>
      <c r="AX61" s="363">
        <f t="shared" si="111"/>
        <v>0.23006589175982822</v>
      </c>
      <c r="AY61" s="363">
        <f t="shared" si="112"/>
        <v>0.23006589175982825</v>
      </c>
      <c r="AZ61" s="363">
        <f t="shared" si="113"/>
        <v>0.23006589175982822</v>
      </c>
      <c r="BA61" s="363">
        <f t="shared" si="114"/>
        <v>0.23006589175982822</v>
      </c>
      <c r="BB61" s="363">
        <f t="shared" si="115"/>
        <v>0.23006589175982822</v>
      </c>
      <c r="BC61" s="363">
        <f t="shared" si="116"/>
        <v>0.23006589175982825</v>
      </c>
      <c r="BD61" s="363">
        <f t="shared" si="117"/>
        <v>0.23006589175982825</v>
      </c>
      <c r="BE61" s="363">
        <f t="shared" si="118"/>
        <v>0.23006589175982822</v>
      </c>
      <c r="BF61" s="363">
        <f t="shared" si="119"/>
        <v>0.23006589175982822</v>
      </c>
      <c r="BG61" s="364">
        <f t="shared" si="120"/>
        <v>0.23006589175982822</v>
      </c>
      <c r="BH61" s="365">
        <f t="shared" si="121"/>
        <v>0.23006589175982822</v>
      </c>
      <c r="BI61" s="364">
        <f t="shared" si="122"/>
        <v>0.23006589175982825</v>
      </c>
      <c r="BJ61" s="365">
        <f t="shared" si="123"/>
        <v>0.23006589175982822</v>
      </c>
      <c r="BK61" s="363">
        <f t="shared" si="124"/>
        <v>0.23006589175982825</v>
      </c>
      <c r="BL61" s="363">
        <f t="shared" si="125"/>
        <v>0.23006589175982825</v>
      </c>
      <c r="BM61" s="366">
        <f t="shared" si="126"/>
        <v>0.23006589175982819</v>
      </c>
    </row>
    <row r="62" spans="1:65" x14ac:dyDescent="0.2">
      <c r="A62" s="7">
        <f>MAX(C43:N43)</f>
        <v>256503.43064516128</v>
      </c>
      <c r="B62" s="343" t="s">
        <v>298</v>
      </c>
      <c r="C62" s="302">
        <f>C73*$O$62</f>
        <v>6218431.3832800109</v>
      </c>
      <c r="D62" s="302">
        <f t="shared" ref="D62:N62" si="130">D73*$O$62</f>
        <v>5499656.0211478109</v>
      </c>
      <c r="E62" s="302">
        <f t="shared" si="130"/>
        <v>6853284.9608889585</v>
      </c>
      <c r="F62" s="302">
        <f t="shared" si="130"/>
        <v>7601133.3888452994</v>
      </c>
      <c r="G62" s="302">
        <f t="shared" si="130"/>
        <v>7520466.071696463</v>
      </c>
      <c r="H62" s="302">
        <f t="shared" si="130"/>
        <v>8356745.4728605291</v>
      </c>
      <c r="I62" s="302">
        <f t="shared" si="130"/>
        <v>9689897.0884059891</v>
      </c>
      <c r="J62" s="302">
        <f t="shared" si="130"/>
        <v>10692908.031842317</v>
      </c>
      <c r="K62" s="302">
        <f t="shared" si="130"/>
        <v>8060705.5268549686</v>
      </c>
      <c r="L62" s="302">
        <f t="shared" si="130"/>
        <v>10536584.355954612</v>
      </c>
      <c r="M62" s="302">
        <f t="shared" si="130"/>
        <v>9047805.662908189</v>
      </c>
      <c r="N62" s="302">
        <f t="shared" si="130"/>
        <v>9762382.0353148486</v>
      </c>
      <c r="O62" s="344">
        <v>99840000</v>
      </c>
      <c r="P62" s="345">
        <f t="shared" si="96"/>
        <v>42049717.298719071</v>
      </c>
      <c r="Q62" s="344">
        <f t="shared" si="97"/>
        <v>57790282.701280929</v>
      </c>
      <c r="R62" s="345">
        <f t="shared" si="98"/>
        <v>18571372.365316782</v>
      </c>
      <c r="S62" s="302">
        <f t="shared" si="99"/>
        <v>23478344.933402292</v>
      </c>
      <c r="T62" s="302">
        <f t="shared" si="100"/>
        <v>28443510.647103276</v>
      </c>
      <c r="U62" s="346">
        <f t="shared" si="101"/>
        <v>29346772.054177649</v>
      </c>
      <c r="W62" s="7">
        <f>MAX(Y43:AJ43)</f>
        <v>25926.942903225772</v>
      </c>
      <c r="X62" s="449" t="s">
        <v>298</v>
      </c>
      <c r="Y62" s="347">
        <v>775000</v>
      </c>
      <c r="Z62" s="347">
        <v>633423.96687834384</v>
      </c>
      <c r="AA62" s="347">
        <v>823712.13472223061</v>
      </c>
      <c r="AB62" s="347">
        <v>913597.76308236772</v>
      </c>
      <c r="AC62" s="347">
        <v>903902.17207890179</v>
      </c>
      <c r="AD62" s="347">
        <v>1004416.5231803521</v>
      </c>
      <c r="AE62" s="347">
        <v>1164651.092356489</v>
      </c>
      <c r="AF62" s="347">
        <v>1285205.2922887402</v>
      </c>
      <c r="AG62" s="347">
        <v>968834.79890083754</v>
      </c>
      <c r="AH62" s="347">
        <v>1266416.3889368523</v>
      </c>
      <c r="AI62" s="347">
        <v>1087476.6421764651</v>
      </c>
      <c r="AJ62" s="347">
        <v>1173363.2253984194</v>
      </c>
      <c r="AK62" s="348">
        <v>12000000</v>
      </c>
      <c r="AL62" s="430">
        <f t="shared" si="103"/>
        <v>5054052.5599421961</v>
      </c>
      <c r="AM62" s="348">
        <f t="shared" si="104"/>
        <v>6945947.4400578039</v>
      </c>
      <c r="AN62" s="349">
        <f t="shared" si="105"/>
        <v>2232136.1016005743</v>
      </c>
      <c r="AO62" s="347">
        <f t="shared" si="106"/>
        <v>2821916.4583416218</v>
      </c>
      <c r="AP62" s="347">
        <f t="shared" si="107"/>
        <v>3418691.1835460667</v>
      </c>
      <c r="AQ62" s="350">
        <f t="shared" si="108"/>
        <v>3527256.2565117367</v>
      </c>
      <c r="AR62" s="399" t="s">
        <v>345</v>
      </c>
      <c r="AS62" s="373">
        <v>1.1200000000000001</v>
      </c>
      <c r="AT62" s="343" t="s">
        <v>298</v>
      </c>
      <c r="AU62" s="484">
        <f t="shared" ref="AU62" si="131">Y62*$AS62/C62</f>
        <v>0.13958504106580005</v>
      </c>
      <c r="AV62" s="484">
        <f t="shared" si="109"/>
        <v>0.12899622088649862</v>
      </c>
      <c r="AW62" s="316">
        <f t="shared" si="110"/>
        <v>0.13461538461538464</v>
      </c>
      <c r="AX62" s="316">
        <f t="shared" si="111"/>
        <v>0.13461538461538464</v>
      </c>
      <c r="AY62" s="316">
        <f t="shared" si="112"/>
        <v>0.13461538461538461</v>
      </c>
      <c r="AZ62" s="316">
        <f t="shared" si="113"/>
        <v>0.13461538461538464</v>
      </c>
      <c r="BA62" s="316">
        <f t="shared" si="114"/>
        <v>0.13461538461538461</v>
      </c>
      <c r="BB62" s="316">
        <f t="shared" si="115"/>
        <v>0.13461538461538464</v>
      </c>
      <c r="BC62" s="316">
        <f t="shared" si="116"/>
        <v>0.13461538461538464</v>
      </c>
      <c r="BD62" s="316">
        <f t="shared" si="117"/>
        <v>0.13461538461538461</v>
      </c>
      <c r="BE62" s="316">
        <f t="shared" si="118"/>
        <v>0.13461538461538464</v>
      </c>
      <c r="BF62" s="316">
        <f t="shared" si="119"/>
        <v>0.13461538461538464</v>
      </c>
      <c r="BG62" s="367">
        <f>AK62*$AS62/O62</f>
        <v>0.13461538461538464</v>
      </c>
      <c r="BH62" s="368">
        <f t="shared" si="121"/>
        <v>0.13461538461538464</v>
      </c>
      <c r="BI62" s="367">
        <f t="shared" si="122"/>
        <v>0.13461538461538461</v>
      </c>
      <c r="BJ62" s="368">
        <f t="shared" si="123"/>
        <v>0.13461538461538461</v>
      </c>
      <c r="BK62" s="316">
        <f t="shared" si="124"/>
        <v>0.13461538461538464</v>
      </c>
      <c r="BL62" s="316">
        <f t="shared" si="125"/>
        <v>0.13461538461538461</v>
      </c>
      <c r="BM62" s="369">
        <f t="shared" si="126"/>
        <v>0.13461538461538464</v>
      </c>
    </row>
    <row r="63" spans="1:65" hidden="1" x14ac:dyDescent="0.2">
      <c r="A63" s="7"/>
      <c r="B63" s="425"/>
      <c r="C63" s="426"/>
      <c r="D63" s="426"/>
      <c r="E63" s="426"/>
      <c r="F63" s="426"/>
      <c r="G63" s="426"/>
      <c r="H63" s="426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W63" s="7"/>
      <c r="X63" s="446" t="s">
        <v>389</v>
      </c>
      <c r="Y63" s="442">
        <f>$AK$63*Y74</f>
        <v>4905857.1037214203</v>
      </c>
      <c r="Z63" s="442">
        <f t="shared" ref="Z63:AJ63" si="132">$AK$63*Z74</f>
        <v>4552528.8928959658</v>
      </c>
      <c r="AA63" s="442">
        <f t="shared" si="132"/>
        <v>4685672.8371472657</v>
      </c>
      <c r="AB63" s="442">
        <f t="shared" si="132"/>
        <v>3466841.7389920359</v>
      </c>
      <c r="AC63" s="442">
        <f t="shared" si="132"/>
        <v>3413946.2012514081</v>
      </c>
      <c r="AD63" s="442">
        <f t="shared" si="132"/>
        <v>4560145.0568389082</v>
      </c>
      <c r="AE63" s="442">
        <f t="shared" si="132"/>
        <v>3547587.1345105567</v>
      </c>
      <c r="AF63" s="442">
        <f t="shared" si="132"/>
        <v>3777342.1191649679</v>
      </c>
      <c r="AG63" s="442">
        <f t="shared" si="132"/>
        <v>3619262.7729117661</v>
      </c>
      <c r="AH63" s="442">
        <f t="shared" si="132"/>
        <v>2804933.198581411</v>
      </c>
      <c r="AI63" s="442">
        <f t="shared" si="132"/>
        <v>5468924.4333792143</v>
      </c>
      <c r="AJ63" s="442">
        <f t="shared" si="132"/>
        <v>5271958.5106050838</v>
      </c>
      <c r="AK63" s="443">
        <v>50075000</v>
      </c>
      <c r="AL63" s="434"/>
      <c r="AM63" s="433"/>
      <c r="AN63" s="435"/>
      <c r="AO63" s="432"/>
      <c r="AP63" s="432"/>
      <c r="AQ63" s="436"/>
      <c r="AR63" s="399"/>
      <c r="AS63" s="373"/>
      <c r="AT63" s="425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  <c r="BF63" s="427"/>
      <c r="BG63" s="427"/>
      <c r="BH63" s="427"/>
      <c r="BI63" s="427"/>
      <c r="BJ63" s="427"/>
      <c r="BK63" s="427"/>
      <c r="BL63" s="427"/>
      <c r="BM63" s="427"/>
    </row>
    <row r="64" spans="1:65" x14ac:dyDescent="0.2">
      <c r="A64" s="7"/>
      <c r="B64" s="425"/>
      <c r="C64" s="426"/>
      <c r="D64" s="426"/>
      <c r="E64" s="426"/>
      <c r="F64" s="426"/>
      <c r="G64" s="426"/>
      <c r="H64" s="426"/>
      <c r="I64" s="426"/>
      <c r="J64" s="426"/>
      <c r="K64" s="426"/>
      <c r="L64" s="426"/>
      <c r="M64" s="426"/>
      <c r="N64" s="426"/>
      <c r="O64" s="426"/>
      <c r="P64" s="426"/>
      <c r="Q64" s="426"/>
      <c r="R64" s="426"/>
      <c r="S64" s="426"/>
      <c r="T64" s="426"/>
      <c r="U64" s="426"/>
      <c r="W64" s="7"/>
      <c r="X64" s="449" t="s">
        <v>394</v>
      </c>
      <c r="Y64" s="338">
        <f>0.9*Y59</f>
        <v>20904012.688500002</v>
      </c>
      <c r="Z64" s="338">
        <f t="shared" ref="Z64:AQ64" si="133">0.9*Z59</f>
        <v>14566178.988790508</v>
      </c>
      <c r="AA64" s="338">
        <f t="shared" si="133"/>
        <v>16994724.78122082</v>
      </c>
      <c r="AB64" s="338">
        <f t="shared" si="133"/>
        <v>16744784.150156753</v>
      </c>
      <c r="AC64" s="338">
        <f t="shared" si="133"/>
        <v>15520908.763742121</v>
      </c>
      <c r="AD64" s="338">
        <f t="shared" si="133"/>
        <v>15756902.399883779</v>
      </c>
      <c r="AE64" s="338">
        <f t="shared" si="133"/>
        <v>15488971.767197568</v>
      </c>
      <c r="AF64" s="338">
        <f t="shared" si="133"/>
        <v>14771806.210794846</v>
      </c>
      <c r="AG64" s="338">
        <f t="shared" si="133"/>
        <v>15037739.383398112</v>
      </c>
      <c r="AH64" s="338">
        <f t="shared" si="133"/>
        <v>14503973.158700226</v>
      </c>
      <c r="AI64" s="338">
        <f t="shared" si="133"/>
        <v>17689224.917784985</v>
      </c>
      <c r="AJ64" s="338">
        <f t="shared" si="133"/>
        <v>17867100.350514978</v>
      </c>
      <c r="AK64" s="339">
        <f t="shared" si="133"/>
        <v>195846327.56068471</v>
      </c>
      <c r="AL64" s="431">
        <f t="shared" si="133"/>
        <v>100487511.77229398</v>
      </c>
      <c r="AM64" s="339">
        <f t="shared" si="133"/>
        <v>95358815.788390711</v>
      </c>
      <c r="AN64" s="340">
        <f t="shared" si="133"/>
        <v>52464916.45851133</v>
      </c>
      <c r="AO64" s="338">
        <f t="shared" si="133"/>
        <v>48022595.313782655</v>
      </c>
      <c r="AP64" s="338">
        <f t="shared" si="133"/>
        <v>45298517.361390531</v>
      </c>
      <c r="AQ64" s="341">
        <f t="shared" si="133"/>
        <v>50060298.427000195</v>
      </c>
      <c r="AR64" s="399"/>
      <c r="AS64" s="373"/>
      <c r="AT64" s="425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</row>
    <row r="65" spans="1:65" x14ac:dyDescent="0.2">
      <c r="A65" s="7"/>
      <c r="B65" s="425"/>
      <c r="C65" s="426"/>
      <c r="D65" s="426"/>
      <c r="E65" s="426"/>
      <c r="F65" s="426"/>
      <c r="G65" s="426"/>
      <c r="H65" s="426"/>
      <c r="I65" s="426"/>
      <c r="J65" s="426"/>
      <c r="K65" s="426"/>
      <c r="L65" s="426"/>
      <c r="M65" s="426"/>
      <c r="N65" s="426"/>
      <c r="O65" s="426"/>
      <c r="P65" s="426"/>
      <c r="Q65" s="426"/>
      <c r="R65" s="426"/>
      <c r="S65" s="426"/>
      <c r="T65" s="426"/>
      <c r="U65" s="426"/>
      <c r="W65" s="7"/>
      <c r="X65" s="449" t="s">
        <v>396</v>
      </c>
      <c r="Y65" s="347">
        <f>0.1*Y59</f>
        <v>2322668.0765</v>
      </c>
      <c r="Z65" s="347">
        <f t="shared" ref="Z65:AQ65" si="134">0.1*Z59</f>
        <v>1618464.3320878344</v>
      </c>
      <c r="AA65" s="347">
        <f t="shared" si="134"/>
        <v>1888302.7534689801</v>
      </c>
      <c r="AB65" s="347">
        <f t="shared" si="134"/>
        <v>1860531.5722396392</v>
      </c>
      <c r="AC65" s="347">
        <f t="shared" si="134"/>
        <v>1724545.4181935692</v>
      </c>
      <c r="AD65" s="347">
        <f t="shared" si="134"/>
        <v>1750766.9333204199</v>
      </c>
      <c r="AE65" s="347">
        <f t="shared" si="134"/>
        <v>1720996.8630219521</v>
      </c>
      <c r="AF65" s="347">
        <f t="shared" si="134"/>
        <v>1641311.8011994273</v>
      </c>
      <c r="AG65" s="347">
        <f t="shared" si="134"/>
        <v>1670859.9314886793</v>
      </c>
      <c r="AH65" s="347">
        <f t="shared" si="134"/>
        <v>1611552.573188914</v>
      </c>
      <c r="AI65" s="347">
        <f t="shared" si="134"/>
        <v>1965469.4353094429</v>
      </c>
      <c r="AJ65" s="347">
        <f t="shared" si="134"/>
        <v>1985233.3722794421</v>
      </c>
      <c r="AK65" s="348">
        <f t="shared" si="134"/>
        <v>21760703.062298302</v>
      </c>
      <c r="AL65" s="430">
        <f t="shared" si="134"/>
        <v>11165279.085810443</v>
      </c>
      <c r="AM65" s="348">
        <f t="shared" si="134"/>
        <v>10595423.976487858</v>
      </c>
      <c r="AN65" s="349">
        <f t="shared" si="134"/>
        <v>5829435.1620568149</v>
      </c>
      <c r="AO65" s="347">
        <f t="shared" si="134"/>
        <v>5335843.9237536285</v>
      </c>
      <c r="AP65" s="347">
        <f t="shared" si="134"/>
        <v>5033168.5957100587</v>
      </c>
      <c r="AQ65" s="350">
        <f t="shared" si="134"/>
        <v>5562255.3807777995</v>
      </c>
      <c r="AR65" s="399"/>
      <c r="AS65" s="373"/>
      <c r="AT65" s="425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</row>
    <row r="66" spans="1:65" x14ac:dyDescent="0.2">
      <c r="C66" s="8">
        <f t="shared" ref="C66:U66" si="135">C60/C$59</f>
        <v>0.79716914899300051</v>
      </c>
      <c r="D66" s="8">
        <f t="shared" si="135"/>
        <v>0.81474366367152717</v>
      </c>
      <c r="E66" s="8">
        <f t="shared" si="135"/>
        <v>0.77829882628781732</v>
      </c>
      <c r="F66" s="8">
        <f t="shared" si="135"/>
        <v>0.74092108912745758</v>
      </c>
      <c r="G66" s="8">
        <f t="shared" si="135"/>
        <v>0.78731189277640412</v>
      </c>
      <c r="H66" s="8">
        <f t="shared" si="135"/>
        <v>0.7456528101500346</v>
      </c>
      <c r="I66" s="8">
        <f t="shared" si="135"/>
        <v>0.74774198091101374</v>
      </c>
      <c r="J66" s="8">
        <f t="shared" si="135"/>
        <v>0.72140816633801841</v>
      </c>
      <c r="K66" s="8">
        <f t="shared" si="135"/>
        <v>0.7430212403905222</v>
      </c>
      <c r="L66" s="8">
        <f t="shared" si="135"/>
        <v>0.74399796347333347</v>
      </c>
      <c r="M66" s="8">
        <f t="shared" si="135"/>
        <v>0.69787699494500077</v>
      </c>
      <c r="N66" s="8">
        <f t="shared" si="135"/>
        <v>0.72981608334436654</v>
      </c>
      <c r="O66" s="8">
        <f t="shared" si="135"/>
        <v>0.75444896445396803</v>
      </c>
      <c r="P66" s="8">
        <f t="shared" si="135"/>
        <v>0.77758499324883612</v>
      </c>
      <c r="Q66" s="8">
        <f t="shared" si="135"/>
        <v>0.73023488286089444</v>
      </c>
      <c r="R66" s="8">
        <f t="shared" si="135"/>
        <v>0.79623213030461881</v>
      </c>
      <c r="S66" s="8">
        <f t="shared" si="135"/>
        <v>0.75789069787329755</v>
      </c>
      <c r="T66" s="8">
        <f t="shared" si="135"/>
        <v>0.7375996968135734</v>
      </c>
      <c r="U66" s="8">
        <f t="shared" si="135"/>
        <v>0.72331565569749279</v>
      </c>
      <c r="Y66" s="8">
        <f>Y60/Y$59</f>
        <v>0.84392948623711794</v>
      </c>
      <c r="Z66" s="8">
        <f t="shared" ref="Z66:AQ66" si="136">Z60/Z$59</f>
        <v>0.8620035102041943</v>
      </c>
      <c r="AA66" s="8">
        <f t="shared" si="136"/>
        <v>0.83987143326633396</v>
      </c>
      <c r="AB66" s="8">
        <f t="shared" si="136"/>
        <v>0.80040124991740536</v>
      </c>
      <c r="AC66" s="8">
        <f t="shared" si="136"/>
        <v>0.83741210045856951</v>
      </c>
      <c r="AD66" s="8">
        <f t="shared" si="136"/>
        <v>0.81411480527518398</v>
      </c>
      <c r="AE66" s="8">
        <f t="shared" si="136"/>
        <v>0.81611523179655432</v>
      </c>
      <c r="AF66" s="8">
        <f t="shared" si="136"/>
        <v>0.79984270570113492</v>
      </c>
      <c r="AG66" s="8">
        <f t="shared" si="136"/>
        <v>0.80436212890757297</v>
      </c>
      <c r="AH66" s="8">
        <f t="shared" si="136"/>
        <v>0.80351764865658715</v>
      </c>
      <c r="AI66" s="8">
        <f t="shared" si="136"/>
        <v>0.77677207473411047</v>
      </c>
      <c r="AJ66" s="8">
        <f t="shared" si="136"/>
        <v>0.8200028633764358</v>
      </c>
      <c r="AK66" s="8">
        <f t="shared" si="136"/>
        <v>0.81848012958535299</v>
      </c>
      <c r="AL66" s="8">
        <f t="shared" si="136"/>
        <v>0.83292802251894471</v>
      </c>
      <c r="AM66" s="8">
        <f t="shared" si="136"/>
        <v>0.80325518368763038</v>
      </c>
      <c r="AN66" s="8">
        <f t="shared" si="136"/>
        <v>0.84763298922315033</v>
      </c>
      <c r="AO66" s="8">
        <f t="shared" si="136"/>
        <v>0.81686277563629839</v>
      </c>
      <c r="AP66" s="8">
        <f t="shared" si="136"/>
        <v>0.80690710039338565</v>
      </c>
      <c r="AQ66" s="8">
        <f t="shared" si="136"/>
        <v>0.79995064061665289</v>
      </c>
    </row>
    <row r="67" spans="1:65" x14ac:dyDescent="0.2">
      <c r="C67" s="8">
        <f t="shared" ref="C67:U67" si="137">C61/C$59</f>
        <v>0.14005737441902308</v>
      </c>
      <c r="D67" s="8">
        <f t="shared" si="137"/>
        <v>0.10858639050468646</v>
      </c>
      <c r="E67" s="8">
        <f t="shared" si="137"/>
        <v>0.13519210285304736</v>
      </c>
      <c r="F67" s="8">
        <f t="shared" si="137"/>
        <v>0.16632776426415408</v>
      </c>
      <c r="G67" s="8">
        <f t="shared" si="137"/>
        <v>0.11730858212118672</v>
      </c>
      <c r="H67" s="8">
        <f t="shared" si="137"/>
        <v>0.14427466247879314</v>
      </c>
      <c r="I67" s="8">
        <f t="shared" si="137"/>
        <v>0.1264305572970954</v>
      </c>
      <c r="J67" s="8">
        <f t="shared" si="137"/>
        <v>0.13277360828056828</v>
      </c>
      <c r="K67" s="8">
        <f t="shared" si="137"/>
        <v>0.14941389687426285</v>
      </c>
      <c r="L67" s="8">
        <f t="shared" si="137"/>
        <v>0.11967472055451632</v>
      </c>
      <c r="M67" s="8">
        <f t="shared" si="137"/>
        <v>0.19327199419966001</v>
      </c>
      <c r="N67" s="8">
        <f t="shared" si="137"/>
        <v>0.14719409683420792</v>
      </c>
      <c r="O67" s="8">
        <f t="shared" si="137"/>
        <v>0.14065469650518161</v>
      </c>
      <c r="P67" s="8">
        <f t="shared" si="137"/>
        <v>0.13602334383943737</v>
      </c>
      <c r="Q67" s="8">
        <f t="shared" si="137"/>
        <v>0.14550185296098214</v>
      </c>
      <c r="R67" s="8">
        <f t="shared" si="137"/>
        <v>0.12948637432584958</v>
      </c>
      <c r="S67" s="8">
        <f t="shared" si="137"/>
        <v>0.14292740681041038</v>
      </c>
      <c r="T67" s="8">
        <f t="shared" si="137"/>
        <v>0.13614063622376926</v>
      </c>
      <c r="U67" s="8">
        <f t="shared" si="137"/>
        <v>0.15429669632658427</v>
      </c>
      <c r="Y67" s="8">
        <f t="shared" ref="Y67:AQ67" si="138">Y61/Y$59</f>
        <v>0.12270371426874864</v>
      </c>
      <c r="Z67" s="8">
        <f t="shared" si="138"/>
        <v>9.8859144948593644E-2</v>
      </c>
      <c r="AA67" s="8">
        <f t="shared" si="138"/>
        <v>0.11650674109108852</v>
      </c>
      <c r="AB67" s="8">
        <f t="shared" si="138"/>
        <v>0.15049462432015939</v>
      </c>
      <c r="AC67" s="8">
        <f t="shared" si="138"/>
        <v>0.11017396120481515</v>
      </c>
      <c r="AD67" s="8">
        <f t="shared" si="138"/>
        <v>0.12851510713266437</v>
      </c>
      <c r="AE67" s="8">
        <f t="shared" si="138"/>
        <v>0.11621171676560396</v>
      </c>
      <c r="AF67" s="8">
        <f t="shared" si="138"/>
        <v>0.12185375128226415</v>
      </c>
      <c r="AG67" s="8">
        <f t="shared" si="138"/>
        <v>0.13765366902722831</v>
      </c>
      <c r="AH67" s="8">
        <f t="shared" si="138"/>
        <v>0.11789872894064579</v>
      </c>
      <c r="AI67" s="8">
        <f t="shared" si="138"/>
        <v>0.16789882054209859</v>
      </c>
      <c r="AJ67" s="8">
        <f t="shared" si="138"/>
        <v>0.12089258791999469</v>
      </c>
      <c r="AK67" s="8">
        <f t="shared" si="138"/>
        <v>0.12637459332665299</v>
      </c>
      <c r="AL67" s="8">
        <f t="shared" si="138"/>
        <v>0.12180618053053199</v>
      </c>
      <c r="AM67" s="8">
        <f t="shared" si="138"/>
        <v>0.13118870968113477</v>
      </c>
      <c r="AN67" s="8">
        <f t="shared" si="138"/>
        <v>0.11407623234724622</v>
      </c>
      <c r="AO67" s="8">
        <f t="shared" si="138"/>
        <v>0.1302511861162321</v>
      </c>
      <c r="AP67" s="8">
        <f t="shared" si="138"/>
        <v>0.12516965963289417</v>
      </c>
      <c r="AQ67" s="8">
        <f t="shared" si="138"/>
        <v>0.13663522222054558</v>
      </c>
    </row>
    <row r="68" spans="1:65" x14ac:dyDescent="0.2">
      <c r="C68" s="8">
        <f t="shared" ref="C68:U68" si="139">C62/C$59</f>
        <v>6.2773476587976482E-2</v>
      </c>
      <c r="D68" s="8">
        <f t="shared" si="139"/>
        <v>7.6669945823786348E-2</v>
      </c>
      <c r="E68" s="8">
        <f t="shared" si="139"/>
        <v>8.6509070859135298E-2</v>
      </c>
      <c r="F68" s="8">
        <f t="shared" si="139"/>
        <v>9.2751146608388443E-2</v>
      </c>
      <c r="G68" s="8">
        <f t="shared" si="139"/>
        <v>9.5379525102409254E-2</v>
      </c>
      <c r="H68" s="8">
        <f t="shared" si="139"/>
        <v>0.11007252737117218</v>
      </c>
      <c r="I68" s="8">
        <f t="shared" si="139"/>
        <v>0.12582746179189067</v>
      </c>
      <c r="J68" s="8">
        <f t="shared" si="139"/>
        <v>0.14581822538141331</v>
      </c>
      <c r="K68" s="8">
        <f t="shared" si="139"/>
        <v>0.10756486273521511</v>
      </c>
      <c r="L68" s="8">
        <f t="shared" si="139"/>
        <v>0.13632731597215011</v>
      </c>
      <c r="M68" s="8">
        <f t="shared" si="139"/>
        <v>0.10885101085533933</v>
      </c>
      <c r="N68" s="8">
        <f t="shared" si="139"/>
        <v>0.12298981982142562</v>
      </c>
      <c r="O68" s="8">
        <f t="shared" si="139"/>
        <v>0.1048963390408504</v>
      </c>
      <c r="P68" s="8">
        <f t="shared" si="139"/>
        <v>8.6391662911726494E-2</v>
      </c>
      <c r="Q68" s="8">
        <f t="shared" si="139"/>
        <v>0.12426326417812358</v>
      </c>
      <c r="R68" s="8">
        <f t="shared" si="139"/>
        <v>7.4281495369531672E-2</v>
      </c>
      <c r="S68" s="8">
        <f t="shared" si="139"/>
        <v>9.9181895316291971E-2</v>
      </c>
      <c r="T68" s="8">
        <f t="shared" si="139"/>
        <v>0.12625966696265736</v>
      </c>
      <c r="U68" s="8">
        <f t="shared" si="139"/>
        <v>0.12238764797592312</v>
      </c>
      <c r="Y68" s="8">
        <f t="shared" ref="Y68:AQ68" si="140">Y62/Y$59</f>
        <v>3.3366799494133403E-2</v>
      </c>
      <c r="Z68" s="8">
        <f t="shared" si="140"/>
        <v>3.913734484721211E-2</v>
      </c>
      <c r="AA68" s="8">
        <f t="shared" si="140"/>
        <v>4.3621825642577612E-2</v>
      </c>
      <c r="AB68" s="8">
        <f t="shared" si="140"/>
        <v>4.9104125762435329E-2</v>
      </c>
      <c r="AC68" s="8">
        <f t="shared" si="140"/>
        <v>5.2413938336615305E-2</v>
      </c>
      <c r="AD68" s="8">
        <f t="shared" si="140"/>
        <v>5.7370087592151647E-2</v>
      </c>
      <c r="AE68" s="8">
        <f t="shared" si="140"/>
        <v>6.7673051437841789E-2</v>
      </c>
      <c r="AF68" s="8">
        <f t="shared" si="140"/>
        <v>7.8303543016600877E-2</v>
      </c>
      <c r="AG68" s="8">
        <f t="shared" si="140"/>
        <v>5.7984202065198776E-2</v>
      </c>
      <c r="AH68" s="8">
        <f t="shared" si="140"/>
        <v>7.8583622402767048E-2</v>
      </c>
      <c r="AI68" s="8">
        <f t="shared" si="140"/>
        <v>5.5329104723790996E-2</v>
      </c>
      <c r="AJ68" s="8">
        <f t="shared" si="140"/>
        <v>5.910454870356957E-2</v>
      </c>
      <c r="AK68" s="8">
        <f t="shared" si="140"/>
        <v>5.5145277087994028E-2</v>
      </c>
      <c r="AL68" s="8">
        <f t="shared" si="140"/>
        <v>4.5265796950523275E-2</v>
      </c>
      <c r="AM68" s="8">
        <f t="shared" si="140"/>
        <v>6.5556106631234859E-2</v>
      </c>
      <c r="AN68" s="8">
        <f t="shared" si="140"/>
        <v>3.8290778429603531E-2</v>
      </c>
      <c r="AO68" s="8">
        <f t="shared" si="140"/>
        <v>5.2886038247469513E-2</v>
      </c>
      <c r="AP68" s="8">
        <f t="shared" si="140"/>
        <v>6.7923239973720212E-2</v>
      </c>
      <c r="AQ68" s="8">
        <f t="shared" si="140"/>
        <v>6.3414137162801434E-2</v>
      </c>
    </row>
    <row r="69" spans="1:65" x14ac:dyDescent="0.2">
      <c r="B69" s="403" t="s">
        <v>317</v>
      </c>
      <c r="C69" s="94" t="s">
        <v>92</v>
      </c>
      <c r="D69" s="94" t="s">
        <v>93</v>
      </c>
      <c r="E69" s="94" t="s">
        <v>61</v>
      </c>
      <c r="F69" s="94" t="s">
        <v>62</v>
      </c>
      <c r="G69" s="94" t="s">
        <v>63</v>
      </c>
      <c r="H69" s="94" t="s">
        <v>64</v>
      </c>
      <c r="I69" s="94" t="s">
        <v>65</v>
      </c>
      <c r="J69" s="94" t="s">
        <v>66</v>
      </c>
      <c r="K69" s="94" t="s">
        <v>67</v>
      </c>
      <c r="L69" s="94" t="s">
        <v>68</v>
      </c>
      <c r="M69" s="94" t="s">
        <v>69</v>
      </c>
      <c r="N69" s="94" t="s">
        <v>86</v>
      </c>
      <c r="O69" s="95" t="s">
        <v>277</v>
      </c>
      <c r="P69" s="404" t="s">
        <v>278</v>
      </c>
      <c r="Q69" s="95" t="s">
        <v>279</v>
      </c>
      <c r="R69" s="404" t="s">
        <v>280</v>
      </c>
      <c r="S69" s="94" t="s">
        <v>126</v>
      </c>
      <c r="T69" s="94" t="s">
        <v>281</v>
      </c>
      <c r="U69" s="405" t="s">
        <v>150</v>
      </c>
      <c r="X69" s="90" t="s">
        <v>301</v>
      </c>
      <c r="Y69" s="91" t="s">
        <v>92</v>
      </c>
      <c r="Z69" s="91" t="s">
        <v>93</v>
      </c>
      <c r="AA69" s="91" t="s">
        <v>61</v>
      </c>
      <c r="AB69" s="91" t="s">
        <v>62</v>
      </c>
      <c r="AC69" s="91" t="s">
        <v>63</v>
      </c>
      <c r="AD69" s="91" t="s">
        <v>64</v>
      </c>
      <c r="AE69" s="91" t="s">
        <v>65</v>
      </c>
      <c r="AF69" s="91" t="s">
        <v>66</v>
      </c>
      <c r="AG69" s="91" t="s">
        <v>67</v>
      </c>
      <c r="AH69" s="91" t="s">
        <v>68</v>
      </c>
      <c r="AI69" s="91" t="s">
        <v>69</v>
      </c>
      <c r="AJ69" s="91" t="s">
        <v>86</v>
      </c>
      <c r="AK69" s="92" t="s">
        <v>277</v>
      </c>
      <c r="AL69" s="285" t="s">
        <v>278</v>
      </c>
      <c r="AM69" s="92" t="s">
        <v>279</v>
      </c>
      <c r="AN69" s="285" t="s">
        <v>280</v>
      </c>
      <c r="AO69" s="91" t="s">
        <v>126</v>
      </c>
      <c r="AP69" s="91" t="s">
        <v>281</v>
      </c>
      <c r="AQ69" s="287" t="s">
        <v>150</v>
      </c>
    </row>
    <row r="70" spans="1:65" x14ac:dyDescent="0.2">
      <c r="B70" s="342" t="s">
        <v>300</v>
      </c>
      <c r="C70" s="355">
        <f>C59/$O59</f>
        <v>0.10407835599261009</v>
      </c>
      <c r="D70" s="355">
        <f t="shared" ref="D70:U70" si="141">D59/$O59</f>
        <v>7.5364379831099573E-2</v>
      </c>
      <c r="E70" s="355">
        <f t="shared" si="141"/>
        <v>8.3232492748823966E-2</v>
      </c>
      <c r="F70" s="355">
        <f t="shared" si="141"/>
        <v>8.6102314461471915E-2</v>
      </c>
      <c r="G70" s="355">
        <f t="shared" si="141"/>
        <v>8.2841005097220255E-2</v>
      </c>
      <c r="H70" s="355">
        <f t="shared" si="141"/>
        <v>7.9765298594503403E-2</v>
      </c>
      <c r="I70" s="355">
        <f t="shared" si="141"/>
        <v>8.0909494443390587E-2</v>
      </c>
      <c r="J70" s="355">
        <f t="shared" si="141"/>
        <v>7.7044170189967023E-2</v>
      </c>
      <c r="K70" s="355">
        <f t="shared" si="141"/>
        <v>7.8733287800996407E-2</v>
      </c>
      <c r="L70" s="355">
        <f t="shared" si="141"/>
        <v>8.1203121297634573E-2</v>
      </c>
      <c r="M70" s="355">
        <f t="shared" si="141"/>
        <v>8.7330622579417067E-2</v>
      </c>
      <c r="N70" s="355">
        <f t="shared" si="141"/>
        <v>8.3395456962864795E-2</v>
      </c>
      <c r="O70" s="356">
        <f t="shared" si="141"/>
        <v>1</v>
      </c>
      <c r="P70" s="357">
        <f t="shared" si="141"/>
        <v>0.51138384672572923</v>
      </c>
      <c r="Q70" s="356">
        <f t="shared" si="141"/>
        <v>0.48861615327427044</v>
      </c>
      <c r="R70" s="357">
        <f t="shared" si="141"/>
        <v>0.26267522857253361</v>
      </c>
      <c r="S70" s="355">
        <f t="shared" si="141"/>
        <v>0.24870861815319559</v>
      </c>
      <c r="T70" s="355">
        <f t="shared" si="141"/>
        <v>0.236686952434354</v>
      </c>
      <c r="U70" s="358">
        <f t="shared" si="141"/>
        <v>0.25192920083991643</v>
      </c>
      <c r="X70" s="447" t="s">
        <v>300</v>
      </c>
      <c r="Y70" s="355">
        <f>Y59/$AK59</f>
        <v>0.10673681221835885</v>
      </c>
      <c r="Z70" s="355">
        <f t="shared" ref="Z70:AQ70" si="142">Z59/$AK59</f>
        <v>7.4375553375015668E-2</v>
      </c>
      <c r="AA70" s="355">
        <f t="shared" si="142"/>
        <v>8.6775815471724152E-2</v>
      </c>
      <c r="AB70" s="355">
        <f t="shared" si="142"/>
        <v>8.5499607568430072E-2</v>
      </c>
      <c r="AC70" s="355">
        <f t="shared" si="142"/>
        <v>7.9250445780929088E-2</v>
      </c>
      <c r="AD70" s="355">
        <f t="shared" si="142"/>
        <v>8.0455439712043428E-2</v>
      </c>
      <c r="AE70" s="355">
        <f t="shared" si="142"/>
        <v>7.9087374065761704E-2</v>
      </c>
      <c r="AF70" s="355">
        <f t="shared" si="142"/>
        <v>7.5425495054114153E-2</v>
      </c>
      <c r="AG70" s="355">
        <f t="shared" si="142"/>
        <v>7.6783361580974943E-2</v>
      </c>
      <c r="AH70" s="355">
        <f t="shared" si="142"/>
        <v>7.4057927658643705E-2</v>
      </c>
      <c r="AI70" s="355">
        <f t="shared" si="142"/>
        <v>9.0321963848435313E-2</v>
      </c>
      <c r="AJ70" s="355">
        <f t="shared" si="142"/>
        <v>9.123020366556886E-2</v>
      </c>
      <c r="AK70" s="356">
        <f t="shared" si="142"/>
        <v>1</v>
      </c>
      <c r="AL70" s="357">
        <f t="shared" si="142"/>
        <v>0.5130936741265012</v>
      </c>
      <c r="AM70" s="356">
        <f t="shared" si="142"/>
        <v>0.48690632587349869</v>
      </c>
      <c r="AN70" s="357">
        <f t="shared" si="142"/>
        <v>0.26788818106509865</v>
      </c>
      <c r="AO70" s="355">
        <f t="shared" si="142"/>
        <v>0.2452054930614026</v>
      </c>
      <c r="AP70" s="355">
        <f t="shared" si="142"/>
        <v>0.23129623070085081</v>
      </c>
      <c r="AQ70" s="358">
        <f t="shared" si="142"/>
        <v>0.25561009517264788</v>
      </c>
      <c r="AR70" s="399" t="s">
        <v>347</v>
      </c>
    </row>
    <row r="71" spans="1:65" ht="30" x14ac:dyDescent="0.2">
      <c r="B71" s="320" t="s">
        <v>305</v>
      </c>
      <c r="C71" s="359">
        <v>0.10997172556962501</v>
      </c>
      <c r="D71" s="359">
        <v>8.1387414957037871E-2</v>
      </c>
      <c r="E71" s="359">
        <v>8.5863662709515773E-2</v>
      </c>
      <c r="F71" s="359">
        <v>8.455843087194137E-2</v>
      </c>
      <c r="G71" s="359">
        <v>8.6449463907471047E-2</v>
      </c>
      <c r="H71" s="359">
        <v>7.8835311401738981E-2</v>
      </c>
      <c r="I71" s="359">
        <v>8.0190216303624939E-2</v>
      </c>
      <c r="J71" s="359">
        <v>7.3670050808545454E-2</v>
      </c>
      <c r="K71" s="359">
        <v>7.7540705757691675E-2</v>
      </c>
      <c r="L71" s="359">
        <v>8.0078255414988184E-2</v>
      </c>
      <c r="M71" s="359">
        <v>8.0782180536902545E-2</v>
      </c>
      <c r="N71" s="359">
        <v>8.0672581760916698E-2</v>
      </c>
      <c r="O71" s="360">
        <f t="shared" ref="O71:U71" si="143">O60/$O60</f>
        <v>1</v>
      </c>
      <c r="P71" s="361">
        <f t="shared" si="143"/>
        <v>0.52706600941733006</v>
      </c>
      <c r="Q71" s="360">
        <f t="shared" si="143"/>
        <v>0.47293399058266955</v>
      </c>
      <c r="R71" s="361">
        <f t="shared" si="143"/>
        <v>0.27722280323617865</v>
      </c>
      <c r="S71" s="359">
        <f t="shared" si="143"/>
        <v>0.24984320618115138</v>
      </c>
      <c r="T71" s="359">
        <f t="shared" si="143"/>
        <v>0.23140097286986205</v>
      </c>
      <c r="U71" s="362">
        <f t="shared" si="143"/>
        <v>0.24153301771280744</v>
      </c>
      <c r="W71" s="437" t="s">
        <v>379</v>
      </c>
      <c r="X71" s="444" t="s">
        <v>305</v>
      </c>
      <c r="Y71" s="359">
        <f>Y60/$AK$60</f>
        <v>0.11005562608301994</v>
      </c>
      <c r="Z71" s="359">
        <f t="shared" ref="Z71:AJ71" si="144">Z60/$AK$60</f>
        <v>7.8330537010253914E-2</v>
      </c>
      <c r="AA71" s="359">
        <f>AA60/$AK$60</f>
        <v>8.9043735918199501E-2</v>
      </c>
      <c r="AB71" s="359">
        <f t="shared" si="144"/>
        <v>8.3611061883552579E-2</v>
      </c>
      <c r="AC71" s="359">
        <f t="shared" si="144"/>
        <v>8.1083559471757563E-2</v>
      </c>
      <c r="AD71" s="359">
        <f t="shared" si="144"/>
        <v>8.0026334503297256E-2</v>
      </c>
      <c r="AE71" s="359">
        <f t="shared" si="144"/>
        <v>7.8858860813833684E-2</v>
      </c>
      <c r="AF71" s="359">
        <f t="shared" si="144"/>
        <v>7.3707998352376666E-2</v>
      </c>
      <c r="AG71" s="359">
        <f t="shared" si="144"/>
        <v>7.5458921913280616E-2</v>
      </c>
      <c r="AH71" s="359">
        <f t="shared" si="144"/>
        <v>7.2704088646354248E-2</v>
      </c>
      <c r="AI71" s="359">
        <f t="shared" si="144"/>
        <v>8.5719343349424618E-2</v>
      </c>
      <c r="AJ71" s="359">
        <f t="shared" si="144"/>
        <v>9.1399932054649372E-2</v>
      </c>
      <c r="AK71" s="360">
        <f t="shared" ref="AK71:AQ71" si="145">AK60/$AK60</f>
        <v>1</v>
      </c>
      <c r="AL71" s="361">
        <f t="shared" si="145"/>
        <v>0.52215085487008073</v>
      </c>
      <c r="AM71" s="360">
        <f t="shared" si="145"/>
        <v>0.47784914512991922</v>
      </c>
      <c r="AN71" s="361">
        <f t="shared" si="145"/>
        <v>0.27742989901147336</v>
      </c>
      <c r="AO71" s="359">
        <f t="shared" si="145"/>
        <v>0.2447209558586074</v>
      </c>
      <c r="AP71" s="359">
        <f t="shared" si="145"/>
        <v>0.22802578107949098</v>
      </c>
      <c r="AQ71" s="362">
        <f t="shared" si="145"/>
        <v>0.24982336405042824</v>
      </c>
    </row>
    <row r="72" spans="1:65" x14ac:dyDescent="0.2">
      <c r="B72" s="321" t="s">
        <v>274</v>
      </c>
      <c r="C72" s="363">
        <f t="shared" ref="C72:U72" si="146">C61/$O61</f>
        <v>0.10363636363636364</v>
      </c>
      <c r="D72" s="363">
        <f t="shared" si="146"/>
        <v>5.8181818181818182E-2</v>
      </c>
      <c r="E72" s="363">
        <f t="shared" si="146"/>
        <v>8.0000000000000016E-2</v>
      </c>
      <c r="F72" s="363">
        <f t="shared" si="146"/>
        <v>0.10181818181818182</v>
      </c>
      <c r="G72" s="363">
        <f t="shared" si="146"/>
        <v>6.9090909090909078E-2</v>
      </c>
      <c r="H72" s="363">
        <f t="shared" si="146"/>
        <v>8.1818181818181818E-2</v>
      </c>
      <c r="I72" s="363">
        <f t="shared" si="146"/>
        <v>7.2727272727272724E-2</v>
      </c>
      <c r="J72" s="363">
        <f t="shared" si="146"/>
        <v>7.2727272727272724E-2</v>
      </c>
      <c r="K72" s="363">
        <f t="shared" si="146"/>
        <v>8.3636363636363634E-2</v>
      </c>
      <c r="L72" s="363">
        <f t="shared" si="146"/>
        <v>6.9090909090909078E-2</v>
      </c>
      <c r="M72" s="363">
        <f t="shared" si="146"/>
        <v>0.12</v>
      </c>
      <c r="N72" s="363">
        <f t="shared" si="146"/>
        <v>8.727272727272728E-2</v>
      </c>
      <c r="O72" s="364">
        <f t="shared" si="146"/>
        <v>1</v>
      </c>
      <c r="P72" s="365">
        <f t="shared" si="146"/>
        <v>0.49454545454545457</v>
      </c>
      <c r="Q72" s="364">
        <f t="shared" si="146"/>
        <v>0.50545454545454538</v>
      </c>
      <c r="R72" s="365">
        <f t="shared" si="146"/>
        <v>0.24181818181818182</v>
      </c>
      <c r="S72" s="363">
        <f t="shared" si="146"/>
        <v>0.25272727272727269</v>
      </c>
      <c r="T72" s="363">
        <f t="shared" si="146"/>
        <v>0.2290909090909091</v>
      </c>
      <c r="U72" s="366">
        <f t="shared" si="146"/>
        <v>0.27636363636363637</v>
      </c>
      <c r="X72" s="445" t="s">
        <v>274</v>
      </c>
      <c r="Y72" s="363">
        <f t="shared" ref="Y72:AQ72" si="147">Y61/$AK61</f>
        <v>0.10363636363636364</v>
      </c>
      <c r="Z72" s="363">
        <f t="shared" si="147"/>
        <v>5.8181818181818182E-2</v>
      </c>
      <c r="AA72" s="363">
        <f t="shared" si="147"/>
        <v>0.08</v>
      </c>
      <c r="AB72" s="363">
        <f t="shared" si="147"/>
        <v>0.10181818181818182</v>
      </c>
      <c r="AC72" s="363">
        <f t="shared" si="147"/>
        <v>6.9090909090909092E-2</v>
      </c>
      <c r="AD72" s="363">
        <f t="shared" si="147"/>
        <v>8.1818181818181818E-2</v>
      </c>
      <c r="AE72" s="363">
        <f t="shared" si="147"/>
        <v>7.2727272727272724E-2</v>
      </c>
      <c r="AF72" s="363">
        <f t="shared" si="147"/>
        <v>7.2727272727272724E-2</v>
      </c>
      <c r="AG72" s="363">
        <f t="shared" si="147"/>
        <v>8.3636363636363634E-2</v>
      </c>
      <c r="AH72" s="363">
        <f t="shared" si="147"/>
        <v>6.9090909090909092E-2</v>
      </c>
      <c r="AI72" s="363">
        <f t="shared" si="147"/>
        <v>0.12</v>
      </c>
      <c r="AJ72" s="363">
        <f t="shared" si="147"/>
        <v>8.727272727272728E-2</v>
      </c>
      <c r="AK72" s="364">
        <f t="shared" si="147"/>
        <v>1</v>
      </c>
      <c r="AL72" s="365">
        <f t="shared" si="147"/>
        <v>0.49454545454545457</v>
      </c>
      <c r="AM72" s="364">
        <f t="shared" si="147"/>
        <v>0.50545454545454549</v>
      </c>
      <c r="AN72" s="365">
        <f t="shared" si="147"/>
        <v>0.24181818181818182</v>
      </c>
      <c r="AO72" s="363">
        <f t="shared" si="147"/>
        <v>0.25272727272727274</v>
      </c>
      <c r="AP72" s="363">
        <f t="shared" si="147"/>
        <v>0.2290909090909091</v>
      </c>
      <c r="AQ72" s="366">
        <f t="shared" si="147"/>
        <v>0.27636363636363637</v>
      </c>
    </row>
    <row r="73" spans="1:65" x14ac:dyDescent="0.2">
      <c r="B73" s="343" t="s">
        <v>298</v>
      </c>
      <c r="C73" s="316">
        <v>6.2283968181891136E-2</v>
      </c>
      <c r="D73" s="316">
        <v>5.5084695724637527E-2</v>
      </c>
      <c r="E73" s="316">
        <v>6.8642677893519216E-2</v>
      </c>
      <c r="F73" s="316">
        <v>7.613314692353064E-2</v>
      </c>
      <c r="G73" s="316">
        <v>7.5325181006575148E-2</v>
      </c>
      <c r="H73" s="316">
        <v>8.3701376931696006E-2</v>
      </c>
      <c r="I73" s="316">
        <v>9.7054257696374088E-2</v>
      </c>
      <c r="J73" s="316">
        <v>0.10710044102406167</v>
      </c>
      <c r="K73" s="316">
        <v>8.0736233241736469E-2</v>
      </c>
      <c r="L73" s="316">
        <v>0.10553469907807103</v>
      </c>
      <c r="M73" s="316">
        <v>9.0623053514705426E-2</v>
      </c>
      <c r="N73" s="316">
        <v>9.7780268783201618E-2</v>
      </c>
      <c r="O73" s="367">
        <f t="shared" ref="O73:U73" si="148">O62/$O62</f>
        <v>1</v>
      </c>
      <c r="P73" s="368">
        <f t="shared" si="148"/>
        <v>0.42117104666184968</v>
      </c>
      <c r="Q73" s="367">
        <f>Q62/$O62</f>
        <v>0.57882895333815032</v>
      </c>
      <c r="R73" s="368">
        <f t="shared" si="148"/>
        <v>0.18601134180004789</v>
      </c>
      <c r="S73" s="316">
        <f t="shared" si="148"/>
        <v>0.23515970486180179</v>
      </c>
      <c r="T73" s="316">
        <f t="shared" si="148"/>
        <v>0.28489093196217224</v>
      </c>
      <c r="U73" s="369">
        <f t="shared" si="148"/>
        <v>0.29393802137597808</v>
      </c>
      <c r="X73" s="445" t="s">
        <v>298</v>
      </c>
      <c r="Y73" s="316">
        <f>Y62/$AK$62</f>
        <v>6.458333333333334E-2</v>
      </c>
      <c r="Z73" s="316">
        <f t="shared" ref="Z73:AJ73" si="149">Z62/$AK$62</f>
        <v>5.2785330573195323E-2</v>
      </c>
      <c r="AA73" s="316">
        <f t="shared" si="149"/>
        <v>6.8642677893519216E-2</v>
      </c>
      <c r="AB73" s="316">
        <f t="shared" si="149"/>
        <v>7.613314692353064E-2</v>
      </c>
      <c r="AC73" s="316">
        <f t="shared" si="149"/>
        <v>7.5325181006575148E-2</v>
      </c>
      <c r="AD73" s="316">
        <f t="shared" si="149"/>
        <v>8.3701376931696006E-2</v>
      </c>
      <c r="AE73" s="316">
        <f t="shared" si="149"/>
        <v>9.7054257696374088E-2</v>
      </c>
      <c r="AF73" s="316">
        <f t="shared" si="149"/>
        <v>0.10710044102406167</v>
      </c>
      <c r="AG73" s="316">
        <f t="shared" si="149"/>
        <v>8.0736233241736469E-2</v>
      </c>
      <c r="AH73" s="316">
        <f t="shared" si="149"/>
        <v>0.10553469907807103</v>
      </c>
      <c r="AI73" s="316">
        <f t="shared" si="149"/>
        <v>9.0623053514705426E-2</v>
      </c>
      <c r="AJ73" s="316">
        <f t="shared" si="149"/>
        <v>9.7780268783201618E-2</v>
      </c>
      <c r="AK73" s="367">
        <f t="shared" ref="AK73:AQ73" si="150">AK62/$AK62</f>
        <v>1</v>
      </c>
      <c r="AL73" s="368">
        <f>AL62/$AK62</f>
        <v>0.42117104666184968</v>
      </c>
      <c r="AM73" s="367">
        <f t="shared" si="150"/>
        <v>0.57882895333815032</v>
      </c>
      <c r="AN73" s="368">
        <f t="shared" si="150"/>
        <v>0.18601134180004786</v>
      </c>
      <c r="AO73" s="316">
        <f t="shared" si="150"/>
        <v>0.23515970486180182</v>
      </c>
      <c r="AP73" s="316">
        <f t="shared" si="150"/>
        <v>0.28489093196217224</v>
      </c>
      <c r="AQ73" s="369">
        <f t="shared" si="150"/>
        <v>0.29393802137597808</v>
      </c>
    </row>
    <row r="74" spans="1:65" x14ac:dyDescent="0.2">
      <c r="X74" s="446" t="s">
        <v>389</v>
      </c>
      <c r="Y74" s="441">
        <v>9.7970186794237052E-2</v>
      </c>
      <c r="Z74" s="441">
        <v>9.0914206548097176E-2</v>
      </c>
      <c r="AA74" s="441">
        <v>9.3573097097299357E-2</v>
      </c>
      <c r="AB74" s="441">
        <v>6.9232985301887887E-2</v>
      </c>
      <c r="AC74" s="441">
        <v>6.817665903647345E-2</v>
      </c>
      <c r="AD74" s="441">
        <v>9.1066301684251783E-2</v>
      </c>
      <c r="AE74" s="441">
        <v>7.0845474478493389E-2</v>
      </c>
      <c r="AF74" s="441">
        <v>7.5433691845531059E-2</v>
      </c>
      <c r="AG74" s="441">
        <v>7.2276840197938411E-2</v>
      </c>
      <c r="AH74" s="441">
        <v>5.6014642008615299E-2</v>
      </c>
      <c r="AI74" s="441">
        <v>0.10921466666758291</v>
      </c>
      <c r="AJ74" s="441">
        <v>0.10528124833959228</v>
      </c>
      <c r="AK74" s="440">
        <f>SUM(Y74:AJ74)</f>
        <v>1</v>
      </c>
      <c r="AL74" s="434"/>
      <c r="AM74" s="433"/>
      <c r="AN74" s="435"/>
      <c r="AO74" s="432"/>
      <c r="AP74" s="432"/>
      <c r="AQ74" s="436"/>
    </row>
    <row r="75" spans="1:65" x14ac:dyDescent="0.2">
      <c r="X75" s="449" t="s">
        <v>394</v>
      </c>
      <c r="Y75" s="363">
        <f>Y64/$AK$64</f>
        <v>0.10673681221835886</v>
      </c>
      <c r="Z75" s="363">
        <f t="shared" ref="Z75:AQ75" si="151">Z64/$AK$64</f>
        <v>7.4375553375015668E-2</v>
      </c>
      <c r="AA75" s="363">
        <f t="shared" si="151"/>
        <v>8.6775815471724152E-2</v>
      </c>
      <c r="AB75" s="363">
        <f t="shared" si="151"/>
        <v>8.5499607568430072E-2</v>
      </c>
      <c r="AC75" s="363">
        <f t="shared" si="151"/>
        <v>7.9250445780929088E-2</v>
      </c>
      <c r="AD75" s="363">
        <f t="shared" si="151"/>
        <v>8.0455439712043428E-2</v>
      </c>
      <c r="AE75" s="363">
        <f t="shared" si="151"/>
        <v>7.9087374065761704E-2</v>
      </c>
      <c r="AF75" s="363">
        <f t="shared" si="151"/>
        <v>7.5425495054114153E-2</v>
      </c>
      <c r="AG75" s="363">
        <f t="shared" si="151"/>
        <v>7.6783361580974943E-2</v>
      </c>
      <c r="AH75" s="363">
        <f t="shared" si="151"/>
        <v>7.4057927658643705E-2</v>
      </c>
      <c r="AI75" s="363">
        <f t="shared" si="151"/>
        <v>9.0321963848435313E-2</v>
      </c>
      <c r="AJ75" s="363">
        <f t="shared" si="151"/>
        <v>9.123020366556886E-2</v>
      </c>
      <c r="AK75" s="364">
        <f t="shared" si="151"/>
        <v>1</v>
      </c>
      <c r="AL75" s="475">
        <f t="shared" si="151"/>
        <v>0.51309367412650131</v>
      </c>
      <c r="AM75" s="364">
        <f t="shared" si="151"/>
        <v>0.48690632587349864</v>
      </c>
      <c r="AN75" s="365">
        <f t="shared" si="151"/>
        <v>0.26788818106509865</v>
      </c>
      <c r="AO75" s="363">
        <f t="shared" si="151"/>
        <v>0.2452054930614026</v>
      </c>
      <c r="AP75" s="363">
        <f t="shared" si="151"/>
        <v>0.23129623070085084</v>
      </c>
      <c r="AQ75" s="366">
        <f t="shared" si="151"/>
        <v>0.25561009517264788</v>
      </c>
    </row>
    <row r="76" spans="1:65" x14ac:dyDescent="0.2">
      <c r="X76" s="449" t="s">
        <v>396</v>
      </c>
      <c r="Y76" s="359">
        <f>Y65/$AK$65</f>
        <v>0.10673681221835885</v>
      </c>
      <c r="Z76" s="359">
        <f t="shared" ref="Z76:AQ76" si="152">Z65/$AK$65</f>
        <v>7.4375553375015668E-2</v>
      </c>
      <c r="AA76" s="359">
        <f t="shared" si="152"/>
        <v>8.6775815471724152E-2</v>
      </c>
      <c r="AB76" s="359">
        <f t="shared" si="152"/>
        <v>8.5499607568430072E-2</v>
      </c>
      <c r="AC76" s="359">
        <f t="shared" si="152"/>
        <v>7.9250445780929088E-2</v>
      </c>
      <c r="AD76" s="359">
        <f t="shared" si="152"/>
        <v>8.0455439712043428E-2</v>
      </c>
      <c r="AE76" s="359">
        <f t="shared" si="152"/>
        <v>7.9087374065761704E-2</v>
      </c>
      <c r="AF76" s="359">
        <f t="shared" si="152"/>
        <v>7.5425495054114153E-2</v>
      </c>
      <c r="AG76" s="359">
        <f t="shared" si="152"/>
        <v>7.6783361580974943E-2</v>
      </c>
      <c r="AH76" s="359">
        <f t="shared" si="152"/>
        <v>7.4057927658643691E-2</v>
      </c>
      <c r="AI76" s="359">
        <f t="shared" si="152"/>
        <v>9.0321963848435313E-2</v>
      </c>
      <c r="AJ76" s="359">
        <f t="shared" si="152"/>
        <v>9.123020366556886E-2</v>
      </c>
      <c r="AK76" s="360">
        <f t="shared" si="152"/>
        <v>1</v>
      </c>
      <c r="AL76" s="476">
        <f t="shared" si="152"/>
        <v>0.51309367412650131</v>
      </c>
      <c r="AM76" s="360">
        <f t="shared" si="152"/>
        <v>0.48690632587349869</v>
      </c>
      <c r="AN76" s="361">
        <f t="shared" si="152"/>
        <v>0.26788818106509871</v>
      </c>
      <c r="AO76" s="359">
        <f t="shared" si="152"/>
        <v>0.2452054930614026</v>
      </c>
      <c r="AP76" s="359">
        <f t="shared" si="152"/>
        <v>0.23129623070085081</v>
      </c>
      <c r="AQ76" s="362">
        <f t="shared" si="152"/>
        <v>0.25561009517264788</v>
      </c>
    </row>
    <row r="77" spans="1:65" x14ac:dyDescent="0.2">
      <c r="X77" s="1" t="s">
        <v>393</v>
      </c>
      <c r="Y77" s="450">
        <v>0.10104716854684456</v>
      </c>
      <c r="Z77" s="450">
        <v>9.3769578817508248E-2</v>
      </c>
      <c r="AA77" s="450">
        <v>9.6511978013266927E-2</v>
      </c>
      <c r="AB77" s="450">
        <v>7.1407408352645863E-2</v>
      </c>
      <c r="AC77" s="450">
        <v>7.031790570215106E-2</v>
      </c>
      <c r="AD77" s="450">
        <v>9.3926450855431859E-2</v>
      </c>
      <c r="AE77" s="450">
        <v>7.3070541505087738E-2</v>
      </c>
      <c r="AF77" s="450">
        <v>7.7802862518115426E-2</v>
      </c>
      <c r="AG77" s="450">
        <v>7.4546862596612334E-2</v>
      </c>
      <c r="AH77" s="450">
        <v>5.7773912221107032E-2</v>
      </c>
      <c r="AI77" s="450">
        <v>0.11264480748337069</v>
      </c>
      <c r="AJ77" s="450">
        <v>7.7180523387858246E-2</v>
      </c>
      <c r="AK77" s="330"/>
      <c r="AL77" s="329"/>
      <c r="AM77" s="330"/>
      <c r="AN77" s="329"/>
      <c r="AO77" s="328"/>
      <c r="AP77" s="328"/>
      <c r="AQ77" s="331"/>
    </row>
    <row r="79" spans="1:65" x14ac:dyDescent="0.2">
      <c r="B79" s="6" t="s">
        <v>303</v>
      </c>
      <c r="C79" s="6">
        <v>31</v>
      </c>
      <c r="D79" s="6">
        <v>28</v>
      </c>
      <c r="E79" s="6">
        <v>31</v>
      </c>
      <c r="F79" s="6">
        <v>30</v>
      </c>
      <c r="G79" s="6">
        <v>31</v>
      </c>
      <c r="H79" s="6">
        <v>30</v>
      </c>
      <c r="I79" s="6">
        <v>31</v>
      </c>
      <c r="J79" s="6">
        <v>31</v>
      </c>
      <c r="K79" s="6">
        <v>30</v>
      </c>
      <c r="L79" s="6">
        <v>31</v>
      </c>
      <c r="M79" s="6">
        <v>30</v>
      </c>
      <c r="N79" s="6">
        <v>31</v>
      </c>
      <c r="O79" s="6">
        <f>SUM(C79:N79)</f>
        <v>365</v>
      </c>
      <c r="P79" s="6">
        <f>SUM(C79:H79)</f>
        <v>181</v>
      </c>
      <c r="Q79" s="6">
        <f>SUM(I79:N79)</f>
        <v>184</v>
      </c>
      <c r="R79" s="6">
        <f>SUM(C79:E79)</f>
        <v>90</v>
      </c>
      <c r="S79" s="6">
        <f>SUM(F79:H79)</f>
        <v>91</v>
      </c>
      <c r="T79" s="6">
        <f>SUM(I79:K79)</f>
        <v>92</v>
      </c>
      <c r="U79" s="6">
        <f>SUM(L79:N79)</f>
        <v>92</v>
      </c>
      <c r="X79" s="6" t="s">
        <v>303</v>
      </c>
      <c r="Y79" s="6">
        <v>31</v>
      </c>
      <c r="Z79" s="6">
        <v>28</v>
      </c>
      <c r="AA79" s="6">
        <v>31</v>
      </c>
      <c r="AB79" s="6">
        <v>30</v>
      </c>
      <c r="AC79" s="6">
        <v>31</v>
      </c>
      <c r="AD79" s="6">
        <v>30</v>
      </c>
      <c r="AE79" s="6">
        <v>31</v>
      </c>
      <c r="AF79" s="6">
        <v>31</v>
      </c>
      <c r="AG79" s="6">
        <v>30</v>
      </c>
      <c r="AH79" s="6">
        <v>31</v>
      </c>
      <c r="AI79" s="6">
        <v>30</v>
      </c>
      <c r="AJ79" s="6">
        <v>31</v>
      </c>
      <c r="AK79" s="6">
        <f>SUM(Y79:AJ79)</f>
        <v>365</v>
      </c>
      <c r="AL79" s="6">
        <f>SUM(Y79:AD79)</f>
        <v>181</v>
      </c>
      <c r="AM79" s="6">
        <f>SUM(AE79:AJ79)</f>
        <v>184</v>
      </c>
      <c r="AN79" s="6">
        <f>SUM(Y79:AA79)</f>
        <v>90</v>
      </c>
      <c r="AO79" s="6">
        <f>SUM(AB79:AD79)</f>
        <v>91</v>
      </c>
      <c r="AP79" s="6">
        <f>SUM(AE79:AG79)</f>
        <v>92</v>
      </c>
      <c r="AQ79" s="6">
        <f>SUM(AH79:AJ79)</f>
        <v>92</v>
      </c>
    </row>
    <row r="80" spans="1:65" x14ac:dyDescent="0.2">
      <c r="B80" s="403" t="s">
        <v>318</v>
      </c>
      <c r="C80" s="94" t="s">
        <v>92</v>
      </c>
      <c r="D80" s="94" t="s">
        <v>93</v>
      </c>
      <c r="E80" s="94" t="s">
        <v>61</v>
      </c>
      <c r="F80" s="94" t="s">
        <v>62</v>
      </c>
      <c r="G80" s="94" t="s">
        <v>63</v>
      </c>
      <c r="H80" s="94" t="s">
        <v>64</v>
      </c>
      <c r="I80" s="94" t="s">
        <v>65</v>
      </c>
      <c r="J80" s="94" t="s">
        <v>66</v>
      </c>
      <c r="K80" s="94" t="s">
        <v>67</v>
      </c>
      <c r="L80" s="94" t="s">
        <v>68</v>
      </c>
      <c r="M80" s="94" t="s">
        <v>69</v>
      </c>
      <c r="N80" s="94" t="s">
        <v>86</v>
      </c>
      <c r="O80" s="95" t="s">
        <v>277</v>
      </c>
      <c r="P80" s="404" t="s">
        <v>278</v>
      </c>
      <c r="Q80" s="95" t="s">
        <v>279</v>
      </c>
      <c r="R80" s="404" t="s">
        <v>280</v>
      </c>
      <c r="S80" s="94" t="s">
        <v>126</v>
      </c>
      <c r="T80" s="94" t="s">
        <v>281</v>
      </c>
      <c r="U80" s="405" t="s">
        <v>150</v>
      </c>
      <c r="X80" s="90" t="s">
        <v>319</v>
      </c>
      <c r="Y80" s="91" t="s">
        <v>92</v>
      </c>
      <c r="Z80" s="91" t="s">
        <v>93</v>
      </c>
      <c r="AA80" s="91" t="s">
        <v>61</v>
      </c>
      <c r="AB80" s="91" t="s">
        <v>62</v>
      </c>
      <c r="AC80" s="91" t="s">
        <v>63</v>
      </c>
      <c r="AD80" s="91" t="s">
        <v>64</v>
      </c>
      <c r="AE80" s="91" t="s">
        <v>65</v>
      </c>
      <c r="AF80" s="91" t="s">
        <v>66</v>
      </c>
      <c r="AG80" s="91" t="s">
        <v>67</v>
      </c>
      <c r="AH80" s="91" t="s">
        <v>68</v>
      </c>
      <c r="AI80" s="91" t="s">
        <v>69</v>
      </c>
      <c r="AJ80" s="91" t="s">
        <v>86</v>
      </c>
      <c r="AK80" s="92" t="s">
        <v>277</v>
      </c>
      <c r="AL80" s="285" t="s">
        <v>278</v>
      </c>
      <c r="AM80" s="92" t="s">
        <v>279</v>
      </c>
      <c r="AN80" s="285" t="s">
        <v>280</v>
      </c>
      <c r="AO80" s="91" t="s">
        <v>126</v>
      </c>
      <c r="AP80" s="91" t="s">
        <v>281</v>
      </c>
      <c r="AQ80" s="287" t="s">
        <v>150</v>
      </c>
    </row>
    <row r="81" spans="2:43" x14ac:dyDescent="0.2">
      <c r="B81" s="342" t="s">
        <v>300</v>
      </c>
      <c r="C81" s="351">
        <f>C59/C$79</f>
        <v>3195530.5274487478</v>
      </c>
      <c r="D81" s="351">
        <f t="shared" ref="D81:U81" si="153">D59/D$79</f>
        <v>2561841.9885282847</v>
      </c>
      <c r="E81" s="351">
        <f t="shared" si="153"/>
        <v>2555497.4318907233</v>
      </c>
      <c r="F81" s="351">
        <f t="shared" si="153"/>
        <v>2731730.2505303477</v>
      </c>
      <c r="G81" s="351">
        <f t="shared" si="153"/>
        <v>2543477.5385143547</v>
      </c>
      <c r="H81" s="351">
        <f t="shared" si="153"/>
        <v>2530678.5360652874</v>
      </c>
      <c r="I81" s="351">
        <f t="shared" si="153"/>
        <v>2484174.1300434959</v>
      </c>
      <c r="J81" s="351">
        <f t="shared" si="153"/>
        <v>2365496.6054755631</v>
      </c>
      <c r="K81" s="351">
        <f t="shared" si="153"/>
        <v>2497936.3836489501</v>
      </c>
      <c r="L81" s="351">
        <f t="shared" si="153"/>
        <v>2493189.391357597</v>
      </c>
      <c r="M81" s="351">
        <f t="shared" si="153"/>
        <v>2770700.2417988656</v>
      </c>
      <c r="N81" s="351">
        <f t="shared" si="153"/>
        <v>2560500.9421391571</v>
      </c>
      <c r="O81" s="352">
        <f t="shared" si="153"/>
        <v>2607662.4701727526</v>
      </c>
      <c r="P81" s="353">
        <f t="shared" si="153"/>
        <v>2689135.4127631471</v>
      </c>
      <c r="Q81" s="352">
        <f t="shared" si="153"/>
        <v>2527517.8907767646</v>
      </c>
      <c r="R81" s="353">
        <f t="shared" si="153"/>
        <v>2777927.1379812839</v>
      </c>
      <c r="S81" s="351">
        <f t="shared" si="153"/>
        <v>2601319.4207891654</v>
      </c>
      <c r="T81" s="351">
        <f t="shared" si="153"/>
        <v>2448672.6555495579</v>
      </c>
      <c r="U81" s="354">
        <f t="shared" si="153"/>
        <v>2606363.1260039709</v>
      </c>
      <c r="X81" s="342" t="s">
        <v>300</v>
      </c>
      <c r="Y81" s="351">
        <f>Y59/Y$79</f>
        <v>749247.76661290321</v>
      </c>
      <c r="Z81" s="351">
        <f t="shared" ref="Z81:AQ81" si="154">Z59/Z$79</f>
        <v>578022.97574565501</v>
      </c>
      <c r="AA81" s="351">
        <f t="shared" si="154"/>
        <v>609129.92047386453</v>
      </c>
      <c r="AB81" s="351">
        <f t="shared" si="154"/>
        <v>620177.19074654637</v>
      </c>
      <c r="AC81" s="351">
        <f t="shared" si="154"/>
        <v>556304.97361082875</v>
      </c>
      <c r="AD81" s="351">
        <f t="shared" si="154"/>
        <v>583588.97777347325</v>
      </c>
      <c r="AE81" s="351">
        <f t="shared" si="154"/>
        <v>555160.27839417802</v>
      </c>
      <c r="AF81" s="351">
        <f t="shared" si="154"/>
        <v>529455.41974175069</v>
      </c>
      <c r="AG81" s="351">
        <f t="shared" si="154"/>
        <v>556953.31049622642</v>
      </c>
      <c r="AH81" s="351">
        <f t="shared" si="154"/>
        <v>519855.6687706174</v>
      </c>
      <c r="AI81" s="351">
        <f t="shared" si="154"/>
        <v>655156.47843648097</v>
      </c>
      <c r="AJ81" s="351">
        <f t="shared" si="154"/>
        <v>640397.86202562647</v>
      </c>
      <c r="AK81" s="352">
        <f t="shared" si="154"/>
        <v>596183.64554241917</v>
      </c>
      <c r="AL81" s="353">
        <f t="shared" si="154"/>
        <v>616866.24783483101</v>
      </c>
      <c r="AM81" s="352">
        <f t="shared" si="154"/>
        <v>575838.25959173136</v>
      </c>
      <c r="AN81" s="353">
        <f t="shared" si="154"/>
        <v>647715.01800631266</v>
      </c>
      <c r="AO81" s="351">
        <f t="shared" si="154"/>
        <v>586356.47513776133</v>
      </c>
      <c r="AP81" s="351">
        <f t="shared" si="154"/>
        <v>547083.5430119629</v>
      </c>
      <c r="AQ81" s="354">
        <f t="shared" si="154"/>
        <v>604592.97617149993</v>
      </c>
    </row>
    <row r="82" spans="2:43" ht="30" x14ac:dyDescent="0.2">
      <c r="B82" s="320" t="s">
        <v>305</v>
      </c>
      <c r="C82" s="347">
        <f t="shared" ref="C82:U82" si="155">C60/C$79</f>
        <v>2547378.3511474724</v>
      </c>
      <c r="D82" s="347">
        <f t="shared" si="155"/>
        <v>2087244.5274810852</v>
      </c>
      <c r="E82" s="347">
        <f t="shared" si="155"/>
        <v>1988940.6518220813</v>
      </c>
      <c r="F82" s="347">
        <f t="shared" si="155"/>
        <v>2023996.5524253675</v>
      </c>
      <c r="G82" s="347">
        <f t="shared" si="155"/>
        <v>2002510.1150820057</v>
      </c>
      <c r="H82" s="347">
        <f t="shared" si="155"/>
        <v>1887007.5620034572</v>
      </c>
      <c r="I82" s="347">
        <f t="shared" si="155"/>
        <v>1857521.284926618</v>
      </c>
      <c r="J82" s="347">
        <f t="shared" si="155"/>
        <v>1706488.5686349331</v>
      </c>
      <c r="K82" s="347">
        <f t="shared" si="155"/>
        <v>1856019.7901954583</v>
      </c>
      <c r="L82" s="347">
        <f t="shared" si="155"/>
        <v>1854927.8297233719</v>
      </c>
      <c r="M82" s="347">
        <f t="shared" si="155"/>
        <v>1933607.9586399796</v>
      </c>
      <c r="N82" s="347">
        <f t="shared" si="155"/>
        <v>1868694.76899156</v>
      </c>
      <c r="O82" s="348">
        <f t="shared" si="155"/>
        <v>1967348.2502673094</v>
      </c>
      <c r="P82" s="349">
        <f t="shared" si="155"/>
        <v>2091031.3417786378</v>
      </c>
      <c r="Q82" s="348">
        <f t="shared" si="155"/>
        <v>1845681.7309001856</v>
      </c>
      <c r="R82" s="349">
        <f t="shared" si="155"/>
        <v>2211874.8429058506</v>
      </c>
      <c r="S82" s="347">
        <f t="shared" si="155"/>
        <v>1971515.7912132628</v>
      </c>
      <c r="T82" s="347">
        <f t="shared" si="155"/>
        <v>1806140.2083290417</v>
      </c>
      <c r="U82" s="350">
        <f t="shared" si="155"/>
        <v>1885223.2534713291</v>
      </c>
      <c r="X82" s="320" t="s">
        <v>305</v>
      </c>
      <c r="Y82" s="347">
        <f t="shared" ref="Y82:AQ82" si="156">Y60/Y$79</f>
        <v>632312.28274193546</v>
      </c>
      <c r="Z82" s="347">
        <f t="shared" si="156"/>
        <v>498257.83407142852</v>
      </c>
      <c r="AA82" s="347">
        <f t="shared" si="156"/>
        <v>511590.81935379258</v>
      </c>
      <c r="AB82" s="347">
        <f t="shared" si="156"/>
        <v>496390.59864380088</v>
      </c>
      <c r="AC82" s="347">
        <f t="shared" si="156"/>
        <v>465856.51644699316</v>
      </c>
      <c r="AD82" s="347">
        <f t="shared" si="156"/>
        <v>475108.42700079485</v>
      </c>
      <c r="AE82" s="347">
        <f t="shared" si="156"/>
        <v>453074.75928590423</v>
      </c>
      <c r="AF82" s="347">
        <f t="shared" si="156"/>
        <v>423481.055474372</v>
      </c>
      <c r="AG82" s="347">
        <f t="shared" si="156"/>
        <v>447992.15053286514</v>
      </c>
      <c r="AH82" s="347">
        <f t="shared" si="156"/>
        <v>417713.20461136411</v>
      </c>
      <c r="AI82" s="347">
        <f t="shared" si="156"/>
        <v>508907.25703059882</v>
      </c>
      <c r="AJ82" s="347">
        <f t="shared" si="156"/>
        <v>525128.08056116139</v>
      </c>
      <c r="AK82" s="348">
        <f t="shared" si="156"/>
        <v>487964.46746022743</v>
      </c>
      <c r="AL82" s="349">
        <f t="shared" si="156"/>
        <v>513805.18396774709</v>
      </c>
      <c r="AM82" s="348">
        <f t="shared" si="156"/>
        <v>462545.06698272156</v>
      </c>
      <c r="AN82" s="349">
        <f t="shared" si="156"/>
        <v>549024.61687741743</v>
      </c>
      <c r="AO82" s="347">
        <f t="shared" si="156"/>
        <v>478972.77779334789</v>
      </c>
      <c r="AP82" s="347">
        <f t="shared" si="156"/>
        <v>441445.59536472301</v>
      </c>
      <c r="AQ82" s="350">
        <f t="shared" si="156"/>
        <v>483644.53860072012</v>
      </c>
    </row>
    <row r="83" spans="2:43" x14ac:dyDescent="0.2">
      <c r="B83" s="321" t="s">
        <v>274</v>
      </c>
      <c r="C83" s="338">
        <f t="shared" ref="C83:U83" si="157">C61/C$79</f>
        <v>447557.61555030762</v>
      </c>
      <c r="D83" s="338">
        <f t="shared" si="157"/>
        <v>278181.17457763484</v>
      </c>
      <c r="E83" s="338">
        <f t="shared" si="157"/>
        <v>345483.07165286905</v>
      </c>
      <c r="F83" s="338">
        <f t="shared" si="157"/>
        <v>454362.58514347021</v>
      </c>
      <c r="G83" s="338">
        <f t="shared" si="157"/>
        <v>298371.743700205</v>
      </c>
      <c r="H83" s="338">
        <f t="shared" si="157"/>
        <v>365112.79163314571</v>
      </c>
      <c r="I83" s="338">
        <f t="shared" si="157"/>
        <v>314075.51968442637</v>
      </c>
      <c r="J83" s="338">
        <f t="shared" si="157"/>
        <v>314075.51968442637</v>
      </c>
      <c r="K83" s="338">
        <f t="shared" si="157"/>
        <v>373226.40922499337</v>
      </c>
      <c r="L83" s="338">
        <f t="shared" si="157"/>
        <v>298371.743700205</v>
      </c>
      <c r="M83" s="338">
        <f t="shared" si="157"/>
        <v>535498.76106194698</v>
      </c>
      <c r="N83" s="338">
        <f t="shared" si="157"/>
        <v>376890.62362131168</v>
      </c>
      <c r="O83" s="339">
        <f t="shared" si="157"/>
        <v>366779.97333010065</v>
      </c>
      <c r="P83" s="340">
        <f t="shared" si="157"/>
        <v>365785.19088108884</v>
      </c>
      <c r="Q83" s="339">
        <f t="shared" si="157"/>
        <v>367758.53650005249</v>
      </c>
      <c r="R83" s="340">
        <f t="shared" si="157"/>
        <v>359703.71323858056</v>
      </c>
      <c r="S83" s="338">
        <f t="shared" si="157"/>
        <v>371799.83909895417</v>
      </c>
      <c r="T83" s="338">
        <f t="shared" si="157"/>
        <v>333363.85323026346</v>
      </c>
      <c r="U83" s="341">
        <f t="shared" si="157"/>
        <v>402153.21976984164</v>
      </c>
      <c r="X83" s="321" t="s">
        <v>274</v>
      </c>
      <c r="Y83" s="338">
        <f t="shared" ref="Y83:AQ83" si="158">Y61/Y$79</f>
        <v>91935.483870967742</v>
      </c>
      <c r="Z83" s="338">
        <f t="shared" si="158"/>
        <v>57142.857142857145</v>
      </c>
      <c r="AA83" s="338">
        <f t="shared" si="158"/>
        <v>70967.741935483864</v>
      </c>
      <c r="AB83" s="338">
        <f t="shared" si="158"/>
        <v>93333.333333333328</v>
      </c>
      <c r="AC83" s="338">
        <f t="shared" si="158"/>
        <v>61290.322580645159</v>
      </c>
      <c r="AD83" s="338">
        <f t="shared" si="158"/>
        <v>75000</v>
      </c>
      <c r="AE83" s="338">
        <f t="shared" si="158"/>
        <v>64516.129032258068</v>
      </c>
      <c r="AF83" s="338">
        <f>AF61/AF$79</f>
        <v>64516.129032258068</v>
      </c>
      <c r="AG83" s="338">
        <f t="shared" si="158"/>
        <v>76666.666666666672</v>
      </c>
      <c r="AH83" s="338">
        <f t="shared" si="158"/>
        <v>61290.322580645159</v>
      </c>
      <c r="AI83" s="338">
        <f t="shared" si="158"/>
        <v>110000</v>
      </c>
      <c r="AJ83" s="338">
        <f t="shared" si="158"/>
        <v>77419.354838709682</v>
      </c>
      <c r="AK83" s="339">
        <f t="shared" si="158"/>
        <v>75342.465753424651</v>
      </c>
      <c r="AL83" s="340">
        <f t="shared" si="158"/>
        <v>75138.121546961323</v>
      </c>
      <c r="AM83" s="339">
        <f t="shared" si="158"/>
        <v>75543.478260869568</v>
      </c>
      <c r="AN83" s="340">
        <f t="shared" si="158"/>
        <v>73888.888888888891</v>
      </c>
      <c r="AO83" s="338">
        <f t="shared" si="158"/>
        <v>76373.626373626379</v>
      </c>
      <c r="AP83" s="338">
        <f t="shared" si="158"/>
        <v>68478.260869565216</v>
      </c>
      <c r="AQ83" s="341">
        <f t="shared" si="158"/>
        <v>82608.695652173919</v>
      </c>
    </row>
    <row r="84" spans="2:43" x14ac:dyDescent="0.2">
      <c r="B84" s="343" t="s">
        <v>298</v>
      </c>
      <c r="C84" s="302">
        <f t="shared" ref="C84:U84" si="159">C62/C$79</f>
        <v>200594.56075096808</v>
      </c>
      <c r="D84" s="302">
        <f t="shared" si="159"/>
        <v>196416.28646956469</v>
      </c>
      <c r="E84" s="302">
        <f t="shared" si="159"/>
        <v>221073.70841577285</v>
      </c>
      <c r="F84" s="302">
        <f t="shared" si="159"/>
        <v>253371.11296150999</v>
      </c>
      <c r="G84" s="302">
        <f t="shared" si="159"/>
        <v>242595.67973214397</v>
      </c>
      <c r="H84" s="302">
        <f t="shared" si="159"/>
        <v>278558.18242868432</v>
      </c>
      <c r="I84" s="302">
        <f t="shared" si="159"/>
        <v>312577.32543245127</v>
      </c>
      <c r="J84" s="302">
        <f t="shared" si="159"/>
        <v>344932.5171562038</v>
      </c>
      <c r="K84" s="302">
        <f t="shared" si="159"/>
        <v>268690.18422849895</v>
      </c>
      <c r="L84" s="302">
        <f t="shared" si="159"/>
        <v>339889.81793401972</v>
      </c>
      <c r="M84" s="302">
        <f t="shared" si="159"/>
        <v>301593.52209693962</v>
      </c>
      <c r="N84" s="302">
        <f t="shared" si="159"/>
        <v>314915.54952628544</v>
      </c>
      <c r="O84" s="344">
        <f t="shared" si="159"/>
        <v>273534.24657534249</v>
      </c>
      <c r="P84" s="345">
        <f t="shared" si="159"/>
        <v>232318.88010342029</v>
      </c>
      <c r="Q84" s="344">
        <f t="shared" si="159"/>
        <v>314077.62337652681</v>
      </c>
      <c r="R84" s="345">
        <f t="shared" si="159"/>
        <v>206348.58183685315</v>
      </c>
      <c r="S84" s="302">
        <f t="shared" si="159"/>
        <v>258003.79047694826</v>
      </c>
      <c r="T84" s="302">
        <f t="shared" si="159"/>
        <v>309168.59399025299</v>
      </c>
      <c r="U84" s="346">
        <f t="shared" si="159"/>
        <v>318986.65276280051</v>
      </c>
      <c r="X84" s="343" t="s">
        <v>298</v>
      </c>
      <c r="Y84" s="302">
        <f t="shared" ref="Y84:AQ84" si="160">Y62/Y$79</f>
        <v>25000</v>
      </c>
      <c r="Z84" s="302">
        <f t="shared" si="160"/>
        <v>22622.284531369423</v>
      </c>
      <c r="AA84" s="302">
        <f t="shared" si="160"/>
        <v>26571.359184588084</v>
      </c>
      <c r="AB84" s="302">
        <f t="shared" si="160"/>
        <v>30453.258769412256</v>
      </c>
      <c r="AC84" s="302">
        <f t="shared" si="160"/>
        <v>29158.134583190382</v>
      </c>
      <c r="AD84" s="302">
        <f t="shared" si="160"/>
        <v>33480.550772678405</v>
      </c>
      <c r="AE84" s="302">
        <f t="shared" si="160"/>
        <v>37569.390076015778</v>
      </c>
      <c r="AF84" s="302">
        <f t="shared" si="160"/>
        <v>41458.23523512065</v>
      </c>
      <c r="AG84" s="302">
        <f t="shared" si="160"/>
        <v>32294.493296694585</v>
      </c>
      <c r="AH84" s="302">
        <f t="shared" si="160"/>
        <v>40852.141578608142</v>
      </c>
      <c r="AI84" s="302">
        <f t="shared" si="160"/>
        <v>36249.22140588217</v>
      </c>
      <c r="AJ84" s="302">
        <f t="shared" si="160"/>
        <v>37850.426625755463</v>
      </c>
      <c r="AK84" s="344">
        <f t="shared" si="160"/>
        <v>32876.71232876712</v>
      </c>
      <c r="AL84" s="345">
        <f t="shared" si="160"/>
        <v>27922.942320122631</v>
      </c>
      <c r="AM84" s="344">
        <f t="shared" si="160"/>
        <v>37749.714348140238</v>
      </c>
      <c r="AN84" s="345">
        <f t="shared" si="160"/>
        <v>24801.512240006381</v>
      </c>
      <c r="AO84" s="302">
        <f t="shared" si="160"/>
        <v>31010.070970787052</v>
      </c>
      <c r="AP84" s="302">
        <f t="shared" si="160"/>
        <v>37159.686777674637</v>
      </c>
      <c r="AQ84" s="346">
        <f t="shared" si="160"/>
        <v>38339.741918605832</v>
      </c>
    </row>
    <row r="85" spans="2:43" x14ac:dyDescent="0.2">
      <c r="B85" s="425"/>
      <c r="C85" s="426"/>
      <c r="D85" s="426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  <c r="P85" s="426"/>
      <c r="Q85" s="426"/>
      <c r="R85" s="426"/>
      <c r="S85" s="426"/>
      <c r="T85" s="426"/>
      <c r="U85" s="426"/>
      <c r="X85" s="449" t="s">
        <v>394</v>
      </c>
      <c r="Y85" s="338">
        <f>Y64/Y$79</f>
        <v>674322.98995161301</v>
      </c>
      <c r="Z85" s="338">
        <f t="shared" ref="Z85:AQ85" si="161">Z64/Z$79</f>
        <v>520220.67817108956</v>
      </c>
      <c r="AA85" s="338">
        <f t="shared" si="161"/>
        <v>548216.92842647806</v>
      </c>
      <c r="AB85" s="338">
        <f t="shared" si="161"/>
        <v>558159.47167189175</v>
      </c>
      <c r="AC85" s="338">
        <f t="shared" si="161"/>
        <v>500674.47624974581</v>
      </c>
      <c r="AD85" s="338">
        <f t="shared" si="161"/>
        <v>525230.07999612601</v>
      </c>
      <c r="AE85" s="338">
        <f t="shared" si="161"/>
        <v>499644.25055476028</v>
      </c>
      <c r="AF85" s="338">
        <f t="shared" si="161"/>
        <v>476509.87776757567</v>
      </c>
      <c r="AG85" s="338">
        <f t="shared" si="161"/>
        <v>501257.97944660374</v>
      </c>
      <c r="AH85" s="338">
        <f t="shared" si="161"/>
        <v>467870.10189355566</v>
      </c>
      <c r="AI85" s="338">
        <f t="shared" si="161"/>
        <v>589640.83059283288</v>
      </c>
      <c r="AJ85" s="338">
        <f t="shared" si="161"/>
        <v>576358.07582306385</v>
      </c>
      <c r="AK85" s="339">
        <f t="shared" si="161"/>
        <v>536565.28098817728</v>
      </c>
      <c r="AL85" s="431">
        <f t="shared" si="161"/>
        <v>555179.62305134803</v>
      </c>
      <c r="AM85" s="339">
        <f t="shared" si="161"/>
        <v>518254.43363255821</v>
      </c>
      <c r="AN85" s="340">
        <f t="shared" si="161"/>
        <v>582943.51620568149</v>
      </c>
      <c r="AO85" s="338">
        <f t="shared" si="161"/>
        <v>527720.82762398524</v>
      </c>
      <c r="AP85" s="338">
        <f t="shared" si="161"/>
        <v>492375.18871076667</v>
      </c>
      <c r="AQ85" s="341">
        <f t="shared" si="161"/>
        <v>544133.67855434993</v>
      </c>
    </row>
    <row r="86" spans="2:43" x14ac:dyDescent="0.2">
      <c r="B86" s="425"/>
      <c r="C86" s="426"/>
      <c r="D86" s="426"/>
      <c r="E86" s="426"/>
      <c r="F86" s="426"/>
      <c r="G86" s="426"/>
      <c r="H86" s="426"/>
      <c r="I86" s="426"/>
      <c r="J86" s="426"/>
      <c r="K86" s="426"/>
      <c r="L86" s="426"/>
      <c r="M86" s="426"/>
      <c r="N86" s="426"/>
      <c r="O86" s="426"/>
      <c r="P86" s="426"/>
      <c r="Q86" s="426"/>
      <c r="R86" s="426"/>
      <c r="S86" s="426"/>
      <c r="T86" s="426"/>
      <c r="U86" s="426"/>
      <c r="X86" s="449" t="s">
        <v>396</v>
      </c>
      <c r="Y86" s="347">
        <f t="shared" ref="Y86:AQ86" si="162">Y65/Y$79</f>
        <v>74924.776661290321</v>
      </c>
      <c r="Z86" s="347">
        <f t="shared" si="162"/>
        <v>57802.297574565513</v>
      </c>
      <c r="AA86" s="347">
        <f t="shared" si="162"/>
        <v>60912.992047386455</v>
      </c>
      <c r="AB86" s="347">
        <f t="shared" si="162"/>
        <v>62017.71907465464</v>
      </c>
      <c r="AC86" s="347">
        <f t="shared" si="162"/>
        <v>55630.497361082875</v>
      </c>
      <c r="AD86" s="347">
        <f t="shared" si="162"/>
        <v>58358.897777347331</v>
      </c>
      <c r="AE86" s="347">
        <f t="shared" si="162"/>
        <v>55516.027839417809</v>
      </c>
      <c r="AF86" s="347">
        <f t="shared" si="162"/>
        <v>52945.541974175074</v>
      </c>
      <c r="AG86" s="347">
        <f t="shared" si="162"/>
        <v>55695.33104962264</v>
      </c>
      <c r="AH86" s="347">
        <f t="shared" si="162"/>
        <v>51985.566877061741</v>
      </c>
      <c r="AI86" s="347">
        <f t="shared" si="162"/>
        <v>65515.647843648097</v>
      </c>
      <c r="AJ86" s="347">
        <f t="shared" si="162"/>
        <v>64039.786202562653</v>
      </c>
      <c r="AK86" s="348">
        <f t="shared" si="162"/>
        <v>59618.364554241925</v>
      </c>
      <c r="AL86" s="430">
        <f t="shared" si="162"/>
        <v>61686.624783483116</v>
      </c>
      <c r="AM86" s="348">
        <f t="shared" si="162"/>
        <v>57583.82595917314</v>
      </c>
      <c r="AN86" s="349">
        <f t="shared" si="162"/>
        <v>64771.501800631275</v>
      </c>
      <c r="AO86" s="347">
        <f t="shared" si="162"/>
        <v>58635.647513776137</v>
      </c>
      <c r="AP86" s="347">
        <f t="shared" si="162"/>
        <v>54708.35430119629</v>
      </c>
      <c r="AQ86" s="350">
        <f t="shared" si="162"/>
        <v>60459.297617149998</v>
      </c>
    </row>
    <row r="87" spans="2:43" x14ac:dyDescent="0.2">
      <c r="Y87" s="7">
        <v>747407.61818269361</v>
      </c>
      <c r="Z87" s="7">
        <v>661016.34869565035</v>
      </c>
      <c r="AA87" s="7">
        <v>823712.13472223061</v>
      </c>
      <c r="AB87" s="8">
        <v>9.3530967731038014E-2</v>
      </c>
      <c r="AC87" s="8">
        <v>9.2538366779149783E-2</v>
      </c>
      <c r="AD87" s="8">
        <v>0.10282867714249552</v>
      </c>
      <c r="AE87" s="8">
        <v>0.11923293613328605</v>
      </c>
      <c r="AF87" s="8">
        <v>0.13157485665820301</v>
      </c>
      <c r="AG87" s="8">
        <v>9.9185943720979997E-2</v>
      </c>
      <c r="AH87" s="8">
        <v>0.12965131395251822</v>
      </c>
      <c r="AI87" s="8">
        <v>0.11133208380950727</v>
      </c>
      <c r="AJ87" s="8">
        <v>0.12012485407282225</v>
      </c>
      <c r="AK87" s="8"/>
      <c r="AL87" s="7">
        <v>9174334.4883859083</v>
      </c>
    </row>
    <row r="88" spans="2:43" x14ac:dyDescent="0.2">
      <c r="Y88" s="1">
        <v>1.0212725449427069</v>
      </c>
      <c r="Z88" s="1">
        <v>1</v>
      </c>
      <c r="AA88" s="1">
        <v>1.1255365448018941</v>
      </c>
      <c r="AB88" s="7">
        <v>55513.380095396147</v>
      </c>
      <c r="AC88" s="7">
        <v>54924.242238043073</v>
      </c>
      <c r="AD88" s="7">
        <v>61031.844076855632</v>
      </c>
      <c r="AE88" s="7">
        <v>70768.254237368441</v>
      </c>
      <c r="AF88" s="7">
        <v>78093.547044956111</v>
      </c>
      <c r="AG88" s="7">
        <v>58869.774658347007</v>
      </c>
      <c r="AH88" s="7">
        <v>76951.867877715209</v>
      </c>
      <c r="AI88" s="7">
        <v>66078.86601903211</v>
      </c>
      <c r="AJ88" s="7">
        <v>71297.633765801831</v>
      </c>
    </row>
    <row r="89" spans="2:43" x14ac:dyDescent="0.2">
      <c r="Y89" s="7">
        <v>198737.1658661348</v>
      </c>
      <c r="Z89" s="7">
        <v>175765.55621733447</v>
      </c>
      <c r="AA89" s="7">
        <v>219026.68793004623</v>
      </c>
      <c r="AB89" s="7">
        <v>913597.76308236772</v>
      </c>
      <c r="AC89" s="7">
        <v>903902.17207890179</v>
      </c>
      <c r="AD89" s="7">
        <v>1004416.5231803521</v>
      </c>
      <c r="AE89" s="7">
        <v>1164651.092356489</v>
      </c>
      <c r="AF89" s="7">
        <v>1285205.2922887402</v>
      </c>
      <c r="AG89" s="7">
        <v>968834.79890083754</v>
      </c>
      <c r="AH89" s="7">
        <v>1266416.3889368523</v>
      </c>
      <c r="AI89" s="7">
        <v>1087476.6421764651</v>
      </c>
      <c r="AJ89" s="7">
        <v>1173363.2253984194</v>
      </c>
      <c r="AL89" s="7">
        <v>593529.4100135155</v>
      </c>
    </row>
    <row r="90" spans="2:43" x14ac:dyDescent="0.2">
      <c r="Y90" s="7"/>
    </row>
    <row r="91" spans="2:43" x14ac:dyDescent="0.2">
      <c r="X91" s="1" t="s">
        <v>353</v>
      </c>
      <c r="Z91" s="7"/>
    </row>
    <row r="92" spans="2:43" x14ac:dyDescent="0.2">
      <c r="X92" s="1" t="s">
        <v>354</v>
      </c>
    </row>
    <row r="93" spans="2:43" x14ac:dyDescent="0.2">
      <c r="X93" s="400" t="s">
        <v>357</v>
      </c>
    </row>
    <row r="94" spans="2:43" x14ac:dyDescent="0.2">
      <c r="X94" s="1" t="s">
        <v>356</v>
      </c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2:43" x14ac:dyDescent="0.2">
      <c r="X95" s="1" t="s">
        <v>355</v>
      </c>
    </row>
    <row r="98" spans="24:44" x14ac:dyDescent="0.2">
      <c r="X98" s="1" t="s">
        <v>373</v>
      </c>
      <c r="Y98" s="408" t="s">
        <v>59</v>
      </c>
      <c r="Z98" s="408" t="s">
        <v>60</v>
      </c>
      <c r="AA98" s="1" t="s">
        <v>374</v>
      </c>
      <c r="AB98" s="408"/>
    </row>
    <row r="99" spans="24:44" x14ac:dyDescent="0.2">
      <c r="X99" s="1" t="s">
        <v>375</v>
      </c>
      <c r="AA99" s="347">
        <f>(Y10+Z10)*0.85</f>
        <v>33552900.118999999</v>
      </c>
    </row>
    <row r="100" spans="24:44" x14ac:dyDescent="0.2">
      <c r="X100" s="1" t="s">
        <v>376</v>
      </c>
      <c r="AA100" s="347">
        <f>(Y11+Z11)*1.04</f>
        <v>4607026.32</v>
      </c>
      <c r="AB100" s="1">
        <v>443</v>
      </c>
    </row>
    <row r="101" spans="24:44" x14ac:dyDescent="0.2">
      <c r="X101" s="1" t="s">
        <v>377</v>
      </c>
      <c r="Y101" s="1">
        <v>140.80000000000001</v>
      </c>
      <c r="AA101" s="347">
        <f>AVERAGE(AE12:AJ12)*2</f>
        <v>1469739.4499999958</v>
      </c>
    </row>
    <row r="102" spans="24:44" x14ac:dyDescent="0.2">
      <c r="Y102" s="1">
        <v>68.400000000000006</v>
      </c>
      <c r="AA102" s="1">
        <f>AA101/(31+28)*(31+20+8*0.7)</f>
        <v>1409953.4384745723</v>
      </c>
    </row>
    <row r="103" spans="24:44" x14ac:dyDescent="0.2">
      <c r="Y103" s="1">
        <f>Y101/Y102-1</f>
        <v>1.0584795321637426</v>
      </c>
      <c r="AC103"/>
      <c r="AD103"/>
      <c r="AE103"/>
      <c r="AF103"/>
      <c r="AG103"/>
      <c r="AH103"/>
      <c r="AI103"/>
      <c r="AJ103"/>
    </row>
    <row r="104" spans="24:44" ht="31.5" x14ac:dyDescent="0.2">
      <c r="X104" s="383" t="s">
        <v>372</v>
      </c>
      <c r="Y104" s="384"/>
      <c r="Z104" s="383"/>
      <c r="AA104" s="383"/>
      <c r="AB104" s="383"/>
      <c r="AC104" s="383"/>
      <c r="AD104" s="383"/>
      <c r="AE104" s="384"/>
      <c r="AF104" s="384"/>
      <c r="AG104" s="383"/>
      <c r="AH104" s="383"/>
      <c r="AI104" s="383"/>
      <c r="AJ104" s="406"/>
      <c r="AK104" s="398"/>
      <c r="AL104" s="383"/>
      <c r="AM104" s="383"/>
      <c r="AN104" s="383"/>
      <c r="AO104" s="383"/>
      <c r="AP104" s="383"/>
      <c r="AQ104" s="383"/>
    </row>
    <row r="105" spans="24:44" x14ac:dyDescent="0.2">
      <c r="X105" s="90" t="s">
        <v>105</v>
      </c>
      <c r="Y105" s="91" t="s">
        <v>92</v>
      </c>
      <c r="Z105" s="91" t="s">
        <v>93</v>
      </c>
      <c r="AA105" s="91" t="s">
        <v>61</v>
      </c>
      <c r="AB105" s="91" t="s">
        <v>62</v>
      </c>
      <c r="AC105" s="91" t="s">
        <v>63</v>
      </c>
      <c r="AD105" s="91" t="s">
        <v>64</v>
      </c>
      <c r="AE105" s="91" t="s">
        <v>65</v>
      </c>
      <c r="AF105" s="91" t="s">
        <v>66</v>
      </c>
      <c r="AG105" s="91" t="s">
        <v>67</v>
      </c>
      <c r="AH105" s="91" t="s">
        <v>68</v>
      </c>
      <c r="AI105" s="91" t="s">
        <v>69</v>
      </c>
      <c r="AJ105" s="91" t="s">
        <v>86</v>
      </c>
      <c r="AK105" s="92" t="s">
        <v>277</v>
      </c>
      <c r="AL105" s="285" t="s">
        <v>278</v>
      </c>
      <c r="AM105" s="92" t="s">
        <v>279</v>
      </c>
      <c r="AN105" s="285" t="s">
        <v>280</v>
      </c>
      <c r="AO105" s="91" t="s">
        <v>126</v>
      </c>
      <c r="AP105" s="91" t="s">
        <v>281</v>
      </c>
      <c r="AQ105" s="287" t="s">
        <v>150</v>
      </c>
      <c r="AR105" s="287" t="s">
        <v>374</v>
      </c>
    </row>
    <row r="106" spans="24:44" x14ac:dyDescent="0.2">
      <c r="X106" s="416" t="s">
        <v>300</v>
      </c>
      <c r="Y106" s="411">
        <f>Y59/Y9-1</f>
        <v>-0.11293322999999611</v>
      </c>
      <c r="Z106" s="411">
        <f t="shared" ref="Z106:AQ106" si="163">Z59/Z9-1</f>
        <v>-0.1439991928102955</v>
      </c>
      <c r="AA106" s="411">
        <f t="shared" si="163"/>
        <v>-0.10849380656297769</v>
      </c>
      <c r="AB106" s="411">
        <f t="shared" si="163"/>
        <v>-8.8865442703787045E-2</v>
      </c>
      <c r="AC106" s="411">
        <f t="shared" si="163"/>
        <v>-9.3699390862856391E-2</v>
      </c>
      <c r="AD106" s="411">
        <f t="shared" si="163"/>
        <v>-9.5043515552734048E-2</v>
      </c>
      <c r="AE106" s="411">
        <f t="shared" si="163"/>
        <v>-8.7284768970756543E-2</v>
      </c>
      <c r="AF106" s="411">
        <f t="shared" si="163"/>
        <v>-8.298939747018641E-2</v>
      </c>
      <c r="AG106" s="411">
        <f t="shared" si="163"/>
        <v>-8.0026940958982218E-2</v>
      </c>
      <c r="AH106" s="411">
        <f t="shared" si="163"/>
        <v>-9.0332545815443699E-2</v>
      </c>
      <c r="AI106" s="411">
        <f t="shared" si="163"/>
        <v>-0.10023264898048123</v>
      </c>
      <c r="AJ106" s="411">
        <f t="shared" si="163"/>
        <v>-0.13577093120940298</v>
      </c>
      <c r="AK106" s="485">
        <f t="shared" si="163"/>
        <v>-0.10270436346524592</v>
      </c>
      <c r="AL106" s="411">
        <f t="shared" si="163"/>
        <v>-0.10725455996170108</v>
      </c>
      <c r="AM106" s="411">
        <f t="shared" si="163"/>
        <v>-9.7858979640640498E-2</v>
      </c>
      <c r="AN106" s="411">
        <f t="shared" si="163"/>
        <v>-0.12037741597539076</v>
      </c>
      <c r="AO106" s="411">
        <f t="shared" si="163"/>
        <v>-9.2462802207443961E-2</v>
      </c>
      <c r="AP106" s="411">
        <f t="shared" si="163"/>
        <v>-8.3484483919430419E-2</v>
      </c>
      <c r="AQ106" s="412">
        <f t="shared" si="163"/>
        <v>-0.11048299758695235</v>
      </c>
      <c r="AR106" s="412">
        <f>(Y59+Z59)/(Y9+Z9)-1</f>
        <v>-0.1259596250651922</v>
      </c>
    </row>
    <row r="107" spans="24:44" ht="30" x14ac:dyDescent="0.2">
      <c r="X107" s="417" t="s">
        <v>305</v>
      </c>
      <c r="Y107" s="413">
        <f>Y60/Y10-1</f>
        <v>-0.14999999999999991</v>
      </c>
      <c r="Z107" s="413">
        <f t="shared" ref="Z107:AQ107" si="164">Z60/Z10-1</f>
        <v>-0.15000000000000002</v>
      </c>
      <c r="AA107" s="413">
        <f t="shared" si="164"/>
        <v>-0.13604746794958122</v>
      </c>
      <c r="AB107" s="413">
        <f t="shared" si="164"/>
        <v>-0.13588653188410804</v>
      </c>
      <c r="AC107" s="413">
        <f t="shared" si="164"/>
        <v>-0.13580428411910772</v>
      </c>
      <c r="AD107" s="413">
        <f t="shared" si="164"/>
        <v>-0.13576833484276429</v>
      </c>
      <c r="AE107" s="413">
        <f t="shared" si="164"/>
        <v>-0.13572751317643994</v>
      </c>
      <c r="AF107" s="413">
        <f t="shared" si="164"/>
        <v>-0.13553191685790045</v>
      </c>
      <c r="AG107" s="413">
        <f t="shared" si="164"/>
        <v>-0.13560141147615912</v>
      </c>
      <c r="AH107" s="413">
        <f t="shared" si="164"/>
        <v>-0.13549055632802443</v>
      </c>
      <c r="AI107" s="413">
        <f t="shared" si="164"/>
        <v>-0.13595141641080222</v>
      </c>
      <c r="AJ107" s="413">
        <f t="shared" si="164"/>
        <v>-0.18572340832275624</v>
      </c>
      <c r="AK107" s="359">
        <f t="shared" si="164"/>
        <v>-0.14327444827816538</v>
      </c>
      <c r="AL107" s="413">
        <f t="shared" si="164"/>
        <v>-0.14102884176154717</v>
      </c>
      <c r="AM107" s="413">
        <f t="shared" si="164"/>
        <v>-0.14571486004405354</v>
      </c>
      <c r="AN107" s="413">
        <f t="shared" si="164"/>
        <v>-0.14557116856746211</v>
      </c>
      <c r="AO107" s="413">
        <f t="shared" si="164"/>
        <v>-0.1358206318514793</v>
      </c>
      <c r="AP107" s="413">
        <f t="shared" si="164"/>
        <v>-0.13562256553973029</v>
      </c>
      <c r="AQ107" s="413">
        <f t="shared" si="164"/>
        <v>-0.154723027120509</v>
      </c>
      <c r="AR107" s="412">
        <f>(Y60+Z60)/(Y10+Z10)-1</f>
        <v>-0.15000000000000002</v>
      </c>
    </row>
    <row r="108" spans="24:44" x14ac:dyDescent="0.2">
      <c r="X108" s="418" t="s">
        <v>274</v>
      </c>
      <c r="Y108" s="414">
        <f>Y61/Y11-1</f>
        <v>0.11775611675366582</v>
      </c>
      <c r="Z108" s="414">
        <f t="shared" ref="Z108:AQ108" si="165">Z61/Z11-1</f>
        <v>-0.14897319893208905</v>
      </c>
      <c r="AA108" s="414">
        <f t="shared" si="165"/>
        <v>3.2839022836634202E-2</v>
      </c>
      <c r="AB108" s="414">
        <f t="shared" si="165"/>
        <v>7.0712778085140426E-2</v>
      </c>
      <c r="AC108" s="414">
        <f t="shared" si="165"/>
        <v>8.4380559590592652E-2</v>
      </c>
      <c r="AD108" s="414">
        <f t="shared" si="165"/>
        <v>1.0833438909270354E-2</v>
      </c>
      <c r="AE108" s="414">
        <f t="shared" si="165"/>
        <v>6.5859966997777741E-2</v>
      </c>
      <c r="AF108" s="414">
        <f t="shared" si="165"/>
        <v>4.7859571309122995E-2</v>
      </c>
      <c r="AG108" s="414">
        <f t="shared" si="165"/>
        <v>0.14538547101437738</v>
      </c>
      <c r="AH108" s="414">
        <f t="shared" si="165"/>
        <v>-2.3284185336246765E-2</v>
      </c>
      <c r="AI108" s="414">
        <f t="shared" si="165"/>
        <v>-5.5717800406212992E-2</v>
      </c>
      <c r="AJ108" s="414">
        <f t="shared" si="165"/>
        <v>0.10090879562366739</v>
      </c>
      <c r="AK108" s="486">
        <f t="shared" si="165"/>
        <v>3.5151404123969998E-2</v>
      </c>
      <c r="AL108" s="414">
        <f t="shared" si="165"/>
        <v>3.3984406450755067E-2</v>
      </c>
      <c r="AM108" s="414">
        <f t="shared" si="165"/>
        <v>3.6295767191787176E-2</v>
      </c>
      <c r="AN108" s="414">
        <f t="shared" si="165"/>
        <v>1.373740713288818E-2</v>
      </c>
      <c r="AO108" s="414">
        <f t="shared" si="165"/>
        <v>5.4129344673722546E-2</v>
      </c>
      <c r="AP108" s="414">
        <f t="shared" si="165"/>
        <v>8.7495128280752787E-2</v>
      </c>
      <c r="AQ108" s="415">
        <f t="shared" si="165"/>
        <v>-2.6285593086335934E-3</v>
      </c>
      <c r="AR108" s="412">
        <f>(Y61+Z61)/(Y11+Z11)-1</f>
        <v>4.5525418226826098E-3</v>
      </c>
    </row>
    <row r="109" spans="24:44" x14ac:dyDescent="0.2">
      <c r="X109" s="421" t="s">
        <v>298</v>
      </c>
      <c r="Y109" s="414">
        <f>Y62/Y12-1</f>
        <v>0.35220657780279097</v>
      </c>
      <c r="Z109" s="414">
        <f t="shared" ref="Z109:AQ109" si="166">Z62/Z12-1</f>
        <v>3.1643979873157591E-2</v>
      </c>
      <c r="AA109" s="414">
        <f t="shared" si="166"/>
        <v>0.18640888714503245</v>
      </c>
      <c r="AB109" s="414">
        <f t="shared" si="166"/>
        <v>0.59904063467361279</v>
      </c>
      <c r="AC109" s="414">
        <f t="shared" si="166"/>
        <v>0.59904063467361257</v>
      </c>
      <c r="AD109" s="414">
        <f t="shared" si="166"/>
        <v>0.59904063467361257</v>
      </c>
      <c r="AE109" s="414">
        <f t="shared" si="166"/>
        <v>0.59904063467361257</v>
      </c>
      <c r="AF109" s="414">
        <f t="shared" si="166"/>
        <v>0.59904063467361235</v>
      </c>
      <c r="AG109" s="414">
        <f t="shared" si="166"/>
        <v>0.59904063467361257</v>
      </c>
      <c r="AH109" s="414">
        <f t="shared" si="166"/>
        <v>0.59904063467361257</v>
      </c>
      <c r="AI109" s="414">
        <f t="shared" si="166"/>
        <v>0.59904063467361235</v>
      </c>
      <c r="AJ109" s="414">
        <f t="shared" si="166"/>
        <v>0.46819309153387167</v>
      </c>
      <c r="AK109" s="487">
        <f t="shared" si="166"/>
        <v>0.4896845748833043</v>
      </c>
      <c r="AL109" s="414">
        <f t="shared" si="166"/>
        <v>0.38612329646449406</v>
      </c>
      <c r="AM109" s="414">
        <f t="shared" si="166"/>
        <v>0.5753239891278743</v>
      </c>
      <c r="AN109" s="414">
        <f t="shared" si="166"/>
        <v>0.18640888714503201</v>
      </c>
      <c r="AO109" s="414">
        <f t="shared" si="166"/>
        <v>0.59904063467361257</v>
      </c>
      <c r="AP109" s="414">
        <f t="shared" si="166"/>
        <v>0.59904063467361257</v>
      </c>
      <c r="AQ109" s="415">
        <f t="shared" si="166"/>
        <v>0.55299917522306763</v>
      </c>
      <c r="AR109" s="422">
        <f>(Y62+Z62)/(Y12+Z12)-1</f>
        <v>0.18640888714503201</v>
      </c>
    </row>
    <row r="110" spans="24:44" x14ac:dyDescent="0.2">
      <c r="X110" s="477" t="s">
        <v>394</v>
      </c>
      <c r="Y110" s="410">
        <f>Y64/Y14-1</f>
        <v>-9.6681302784413226E-2</v>
      </c>
      <c r="Z110" s="410">
        <f t="shared" ref="Z110:AQ110" si="167">Z64/Z14-1</f>
        <v>-0.12990500312569642</v>
      </c>
      <c r="AA110" s="410">
        <f t="shared" si="167"/>
        <v>-8.8806661121408004E-2</v>
      </c>
      <c r="AB110" s="410">
        <f t="shared" si="167"/>
        <v>-7.6256861012988897E-2</v>
      </c>
      <c r="AC110" s="410">
        <f t="shared" si="167"/>
        <v>-8.9717024353517916E-2</v>
      </c>
      <c r="AD110" s="410">
        <f t="shared" si="167"/>
        <v>-8.6156462393290667E-2</v>
      </c>
      <c r="AE110" s="410">
        <f t="shared" si="167"/>
        <v>-9.2110865099142014E-2</v>
      </c>
      <c r="AF110" s="410">
        <f t="shared" si="167"/>
        <v>-9.0150947860116903E-2</v>
      </c>
      <c r="AG110" s="410">
        <f t="shared" si="167"/>
        <v>-6.8882267154342314E-2</v>
      </c>
      <c r="AH110" s="410">
        <f t="shared" si="167"/>
        <v>-7.9456877782647095E-2</v>
      </c>
      <c r="AI110" s="410">
        <f t="shared" si="167"/>
        <v>-8.9072309422176033E-2</v>
      </c>
      <c r="AJ110" s="410">
        <f t="shared" si="167"/>
        <v>-2.8246487037137391E-2</v>
      </c>
      <c r="AK110" s="487">
        <f t="shared" si="167"/>
        <v>-8.4662720941997782E-2</v>
      </c>
      <c r="AL110" s="410">
        <f t="shared" si="167"/>
        <v>-9.4327786122204382E-2</v>
      </c>
      <c r="AM110" s="410">
        <f t="shared" si="167"/>
        <v>-7.4252073607535163E-2</v>
      </c>
      <c r="AN110" s="410">
        <f t="shared" si="167"/>
        <v>-0.10367431857765907</v>
      </c>
      <c r="AO110" s="410">
        <f t="shared" si="167"/>
        <v>-8.389128190366113E-2</v>
      </c>
      <c r="AP110" s="410">
        <f t="shared" si="167"/>
        <v>-8.3880349088103379E-2</v>
      </c>
      <c r="AQ110" s="466">
        <f t="shared" si="167"/>
        <v>-6.5363551116348395E-2</v>
      </c>
      <c r="AR110" s="478">
        <f>(Y64+Z64)/(Y14+Z14)-1</f>
        <v>-0.11062722591218088</v>
      </c>
    </row>
    <row r="111" spans="24:44" x14ac:dyDescent="0.2">
      <c r="X111" s="477" t="s">
        <v>396</v>
      </c>
      <c r="Y111" s="410">
        <f t="shared" ref="Y111:AQ111" si="168">Y65/Y15-1</f>
        <v>-0.16127232822186433</v>
      </c>
      <c r="Z111" s="410">
        <f t="shared" si="168"/>
        <v>-0.16423035068560476</v>
      </c>
      <c r="AA111" s="410">
        <f t="shared" si="168"/>
        <v>-0.1596394160675213</v>
      </c>
      <c r="AB111" s="410">
        <f t="shared" si="168"/>
        <v>-9.2440623434351554E-2</v>
      </c>
      <c r="AC111" s="410">
        <f t="shared" si="168"/>
        <v>-8.706416237513559E-3</v>
      </c>
      <c r="AD111" s="410">
        <f t="shared" si="168"/>
        <v>-6.7197005490034045E-2</v>
      </c>
      <c r="AE111" s="410">
        <f t="shared" si="168"/>
        <v>0.10396740244653491</v>
      </c>
      <c r="AF111" s="410">
        <f t="shared" si="168"/>
        <v>0.14755823220070652</v>
      </c>
      <c r="AG111" s="410">
        <f t="shared" si="168"/>
        <v>-6.507242379915279E-2</v>
      </c>
      <c r="AH111" s="410">
        <f t="shared" si="168"/>
        <v>-7.1867762034937388E-2</v>
      </c>
      <c r="AI111" s="410">
        <f t="shared" si="168"/>
        <v>-0.10635169656031074</v>
      </c>
      <c r="AJ111" s="410">
        <f t="shared" si="168"/>
        <v>-0.54639160674078291</v>
      </c>
      <c r="AK111" s="487">
        <f t="shared" si="168"/>
        <v>-0.15354338330240558</v>
      </c>
      <c r="AL111" s="410">
        <f t="shared" si="168"/>
        <v>-0.11522933519911249</v>
      </c>
      <c r="AM111" s="410">
        <f t="shared" si="168"/>
        <v>-0.19048398895741658</v>
      </c>
      <c r="AN111" s="410">
        <f t="shared" si="168"/>
        <v>-0.16156847134795893</v>
      </c>
      <c r="AO111" s="410">
        <f t="shared" si="168"/>
        <v>-5.8372480209559097E-2</v>
      </c>
      <c r="AP111" s="410">
        <f t="shared" si="168"/>
        <v>5.3771246364042291E-2</v>
      </c>
      <c r="AQ111" s="466">
        <f t="shared" si="168"/>
        <v>-0.33083653938048874</v>
      </c>
      <c r="AR111" s="478">
        <f>(Y65+Z65)/(Y15+Z15)-1</f>
        <v>-0.16248959897650905</v>
      </c>
    </row>
    <row r="113" spans="24:37" ht="30" x14ac:dyDescent="0.2">
      <c r="X113" s="424" t="s">
        <v>378</v>
      </c>
      <c r="Y113" s="423">
        <f>Y10*0.85</f>
        <v>19601680.764999997</v>
      </c>
      <c r="Z113" s="423">
        <f>Z10*0.85</f>
        <v>13951219.353999998</v>
      </c>
      <c r="AA113" s="423">
        <f>AA60+$AA$116</f>
        <v>15904644.183447972</v>
      </c>
      <c r="AB113" s="423">
        <f t="shared" ref="AB113:AJ113" si="169">AB60+$AA$116</f>
        <v>14937046.742794428</v>
      </c>
      <c r="AC113" s="423">
        <f t="shared" si="169"/>
        <v>14486880.793337191</v>
      </c>
      <c r="AD113" s="423">
        <f t="shared" si="169"/>
        <v>14298581.593504248</v>
      </c>
      <c r="AE113" s="423">
        <f t="shared" si="169"/>
        <v>14090646.321343433</v>
      </c>
      <c r="AF113" s="423">
        <f t="shared" si="169"/>
        <v>13173241.503185933</v>
      </c>
      <c r="AG113" s="423">
        <f t="shared" si="169"/>
        <v>13485093.299466357</v>
      </c>
      <c r="AH113" s="423">
        <f t="shared" si="169"/>
        <v>12994438.126432689</v>
      </c>
      <c r="AI113" s="423">
        <f t="shared" si="169"/>
        <v>15312546.494398367</v>
      </c>
      <c r="AJ113" s="423">
        <f t="shared" si="169"/>
        <v>16324299.280876404</v>
      </c>
      <c r="AK113" s="423">
        <f>SUM(Y113:AJ113)</f>
        <v>178560318.45778701</v>
      </c>
    </row>
    <row r="114" spans="24:37" x14ac:dyDescent="0.2">
      <c r="Y114" s="347">
        <v>19866492.551789626</v>
      </c>
      <c r="Z114" s="347">
        <v>14139695.402014386</v>
      </c>
      <c r="AA114" s="7">
        <f>Y114+Z114</f>
        <v>34006187.953804016</v>
      </c>
    </row>
    <row r="115" spans="24:37" x14ac:dyDescent="0.2">
      <c r="AA115" s="7">
        <f>AA114-AA113</f>
        <v>18101543.770356044</v>
      </c>
    </row>
    <row r="116" spans="24:37" x14ac:dyDescent="0.2">
      <c r="AA116" s="1">
        <v>45328.783480402082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06E3-A2C0-4502-A4C0-848449284FB5}">
  <sheetPr>
    <tabColor theme="0" tint="-0.34998626667073579"/>
  </sheetPr>
  <dimension ref="B2:W67"/>
  <sheetViews>
    <sheetView workbookViewId="0">
      <selection activeCell="Z18" sqref="Z18:Z20"/>
    </sheetView>
  </sheetViews>
  <sheetFormatPr defaultRowHeight="16.5" x14ac:dyDescent="0.2"/>
  <cols>
    <col min="1" max="1" width="9" style="1"/>
    <col min="2" max="2" width="11.375" style="1" bestFit="1" customWidth="1"/>
    <col min="3" max="3" width="18.375" style="1" bestFit="1" customWidth="1"/>
    <col min="4" max="4" width="9.375" style="1" bestFit="1" customWidth="1"/>
    <col min="5" max="7" width="9.125" style="1" bestFit="1" customWidth="1"/>
    <col min="8" max="11" width="9" style="1"/>
    <col min="12" max="12" width="18.375" style="1" bestFit="1" customWidth="1"/>
    <col min="13" max="13" width="9.375" style="1" bestFit="1" customWidth="1"/>
    <col min="14" max="16" width="9.125" style="1" bestFit="1" customWidth="1"/>
    <col min="17" max="18" width="9" style="1"/>
    <col min="19" max="19" width="18.375" style="1" customWidth="1"/>
    <col min="20" max="16384" width="9" style="1"/>
  </cols>
  <sheetData>
    <row r="2" spans="2:23" ht="31.5" x14ac:dyDescent="0.2">
      <c r="C2" s="382" t="s">
        <v>329</v>
      </c>
      <c r="D2" s="391" t="s">
        <v>331</v>
      </c>
      <c r="L2" s="382" t="s">
        <v>329</v>
      </c>
      <c r="M2" s="391" t="s">
        <v>332</v>
      </c>
      <c r="S2" s="1" t="s">
        <v>337</v>
      </c>
    </row>
    <row r="3" spans="2:23" x14ac:dyDescent="0.2">
      <c r="B3" s="385" t="s">
        <v>86</v>
      </c>
      <c r="C3" s="90" t="s">
        <v>299</v>
      </c>
      <c r="D3" s="91" t="s">
        <v>92</v>
      </c>
      <c r="E3" s="91" t="s">
        <v>93</v>
      </c>
      <c r="F3" s="91" t="s">
        <v>61</v>
      </c>
      <c r="G3" s="285" t="s">
        <v>280</v>
      </c>
      <c r="H3" s="92" t="s">
        <v>98</v>
      </c>
      <c r="L3" s="90" t="s">
        <v>325</v>
      </c>
      <c r="M3" s="91" t="s">
        <v>92</v>
      </c>
      <c r="N3" s="91" t="s">
        <v>93</v>
      </c>
      <c r="O3" s="91" t="s">
        <v>61</v>
      </c>
      <c r="P3" s="285" t="s">
        <v>280</v>
      </c>
      <c r="S3" s="392" t="s">
        <v>325</v>
      </c>
      <c r="T3" s="385" t="s">
        <v>92</v>
      </c>
      <c r="U3" s="385" t="s">
        <v>93</v>
      </c>
      <c r="V3" s="385" t="s">
        <v>61</v>
      </c>
      <c r="W3" s="393" t="s">
        <v>280</v>
      </c>
    </row>
    <row r="4" spans="2:23" x14ac:dyDescent="0.2">
      <c r="B4" s="351">
        <v>22971147.858490568</v>
      </c>
      <c r="C4" s="342" t="s">
        <v>326</v>
      </c>
      <c r="D4" s="351">
        <f>SUM(D5:D7)</f>
        <v>21932055.302424613</v>
      </c>
      <c r="E4" s="351">
        <f t="shared" ref="E4:G4" si="0">SUM(E5:E7)</f>
        <v>15165372.250174329</v>
      </c>
      <c r="F4" s="351">
        <f t="shared" si="0"/>
        <v>17259163.611655314</v>
      </c>
      <c r="G4" s="353">
        <f t="shared" si="0"/>
        <v>54356591.164254256</v>
      </c>
      <c r="H4" s="352">
        <v>217607030.62298301</v>
      </c>
      <c r="L4" s="342" t="s">
        <v>326</v>
      </c>
      <c r="M4" s="351">
        <f>SUM(M5:M7)</f>
        <v>22767055.302424613</v>
      </c>
      <c r="N4" s="351">
        <f t="shared" ref="N4" si="1">SUM(N5:N7)</f>
        <v>15925372.250174329</v>
      </c>
      <c r="O4" s="351">
        <f t="shared" ref="O4" si="2">SUM(O5:O7)</f>
        <v>18334163.611655314</v>
      </c>
      <c r="P4" s="353">
        <f t="shared" ref="P4" si="3">SUM(P5:P7)</f>
        <v>57026591.164254256</v>
      </c>
      <c r="S4" s="342" t="s">
        <v>326</v>
      </c>
      <c r="T4" s="351">
        <f>SUM(T5:T7)</f>
        <v>835000</v>
      </c>
      <c r="U4" s="351">
        <f t="shared" ref="U4" si="4">SUM(U5:U7)</f>
        <v>760000</v>
      </c>
      <c r="V4" s="351">
        <f t="shared" ref="V4" si="5">SUM(V5:V7)</f>
        <v>1075000</v>
      </c>
      <c r="W4" s="353">
        <f t="shared" ref="W4" si="6">SUM(W5:W7)</f>
        <v>2670000</v>
      </c>
    </row>
    <row r="5" spans="2:23" ht="30" x14ac:dyDescent="0.2">
      <c r="B5" s="347">
        <v>19991942.128490567</v>
      </c>
      <c r="C5" s="320" t="s">
        <v>305</v>
      </c>
      <c r="D5" s="347">
        <f>B5/31*(1+D8)*31</f>
        <v>18991594.155958861</v>
      </c>
      <c r="E5" s="347">
        <f>D5/31*(1+E8)*28</f>
        <v>12876303.248815427</v>
      </c>
      <c r="F5" s="347">
        <f>E5/28*(1+F8)*31</f>
        <v>14318702.465189559</v>
      </c>
      <c r="G5" s="349">
        <f>SUM(D5:F5)</f>
        <v>46186599.869963847</v>
      </c>
      <c r="H5" s="348">
        <v>178107030.62298301</v>
      </c>
      <c r="I5" s="1" t="s">
        <v>339</v>
      </c>
      <c r="J5" s="1" t="s">
        <v>340</v>
      </c>
      <c r="L5" s="320" t="s">
        <v>327</v>
      </c>
      <c r="M5" s="347">
        <f>D5+T5</f>
        <v>19526594.155958861</v>
      </c>
      <c r="N5" s="347">
        <f t="shared" ref="N5:N7" si="7">E5+U5</f>
        <v>13636303.248815427</v>
      </c>
      <c r="O5" s="347">
        <f t="shared" ref="O5:O7" si="8">F5+V5</f>
        <v>15393702.465189559</v>
      </c>
      <c r="P5" s="349">
        <f>SUM(M5:O5)</f>
        <v>48556599.869963847</v>
      </c>
      <c r="S5" s="320" t="s">
        <v>327</v>
      </c>
      <c r="T5" s="347">
        <v>535000</v>
      </c>
      <c r="U5" s="347">
        <v>760000</v>
      </c>
      <c r="V5" s="347">
        <v>1075000</v>
      </c>
      <c r="W5" s="349">
        <f>SUM(T5:V5)</f>
        <v>2370000</v>
      </c>
    </row>
    <row r="6" spans="2:23" x14ac:dyDescent="0.2">
      <c r="B6" s="338">
        <v>2180017.1</v>
      </c>
      <c r="C6" s="321" t="s">
        <v>328</v>
      </c>
      <c r="D6" s="338">
        <f>'1. 按目标v0.2'!$AK$42*(1+0)*D15</f>
        <v>2256304.1783561651</v>
      </c>
      <c r="E6" s="338">
        <f>'1. 按目标v0.2'!$AK$42*(1+0)*E15*(1-0.18)</f>
        <v>1671120.7720986307</v>
      </c>
      <c r="F6" s="338">
        <f>'1. 按目标v0.2'!$AK$42*(1+0)*F15</f>
        <v>2256304.1783561651</v>
      </c>
      <c r="G6" s="340">
        <f t="shared" ref="G6:G7" si="9">SUM(D6:F6)</f>
        <v>6183729.1288109608</v>
      </c>
      <c r="H6" s="339">
        <v>27500000</v>
      </c>
      <c r="I6" s="8">
        <v>4.2213631434224075E-2</v>
      </c>
      <c r="J6" s="7">
        <v>116490.6</v>
      </c>
      <c r="K6" s="7">
        <v>82250.038709677421</v>
      </c>
      <c r="L6" s="321" t="s">
        <v>328</v>
      </c>
      <c r="M6" s="338">
        <f t="shared" ref="M6:M7" si="10">D6+T6</f>
        <v>2556304.1783561651</v>
      </c>
      <c r="N6" s="338">
        <f t="shared" si="7"/>
        <v>1671120.7720986307</v>
      </c>
      <c r="O6" s="338">
        <f t="shared" si="8"/>
        <v>2256304.1783561651</v>
      </c>
      <c r="P6" s="340">
        <f>SUM(M6:O6)</f>
        <v>6483729.1288109608</v>
      </c>
      <c r="S6" s="321" t="s">
        <v>328</v>
      </c>
      <c r="T6" s="338">
        <v>300000</v>
      </c>
      <c r="U6" s="338"/>
      <c r="V6" s="338"/>
      <c r="W6" s="340">
        <f>SUM(T6:V6)</f>
        <v>300000</v>
      </c>
    </row>
    <row r="7" spans="2:23" x14ac:dyDescent="0.2">
      <c r="B7" s="302">
        <v>799188.63</v>
      </c>
      <c r="C7" s="343" t="s">
        <v>285</v>
      </c>
      <c r="D7" s="302">
        <f>'1. 按目标v0.2'!$AK$43*(1+0)*'2. 按趋势预测Q1'!D15</f>
        <v>684156.96810958732</v>
      </c>
      <c r="E7" s="302">
        <f>'1. 按目标v0.2'!$AK$43*(1+0)*'2. 按趋势预测Q1'!E15</f>
        <v>617948.22926027235</v>
      </c>
      <c r="F7" s="302">
        <f>'1. 按目标v0.2'!$AK$43*(1+0)*'2. 按趋势预测Q1'!F15</f>
        <v>684156.96810958732</v>
      </c>
      <c r="G7" s="345">
        <f t="shared" si="9"/>
        <v>1986262.1654794468</v>
      </c>
      <c r="H7" s="344">
        <v>12000000</v>
      </c>
      <c r="I7" s="8">
        <v>0.50187735984123227</v>
      </c>
      <c r="J7" s="7">
        <v>25926.942903225772</v>
      </c>
      <c r="L7" s="343" t="s">
        <v>285</v>
      </c>
      <c r="M7" s="302">
        <f t="shared" si="10"/>
        <v>684156.96810958732</v>
      </c>
      <c r="N7" s="302">
        <f t="shared" si="7"/>
        <v>617948.22926027235</v>
      </c>
      <c r="O7" s="302">
        <f t="shared" si="8"/>
        <v>684156.96810958732</v>
      </c>
      <c r="P7" s="345">
        <f t="shared" ref="P7" si="11">SUM(M7:O7)</f>
        <v>1986262.1654794468</v>
      </c>
      <c r="S7" s="343" t="s">
        <v>285</v>
      </c>
      <c r="T7" s="302"/>
      <c r="U7" s="302"/>
      <c r="V7" s="302"/>
      <c r="W7" s="345">
        <f t="shared" ref="W7" si="12">SUM(T7:V7)</f>
        <v>0</v>
      </c>
    </row>
    <row r="8" spans="2:23" x14ac:dyDescent="0.2">
      <c r="C8" s="1" t="s">
        <v>338</v>
      </c>
      <c r="D8" s="8">
        <v>-5.0037558437411978E-2</v>
      </c>
      <c r="E8" s="8">
        <v>-0.24935700229996816</v>
      </c>
      <c r="F8" s="8">
        <v>4.4048615157714632E-3</v>
      </c>
    </row>
    <row r="10" spans="2:23" x14ac:dyDescent="0.2">
      <c r="D10" s="8">
        <f>D5/D$4</f>
        <v>0.86592860970304586</v>
      </c>
      <c r="E10" s="8">
        <f t="shared" ref="E10:G10" si="13">E5/E$4</f>
        <v>0.8490594913466375</v>
      </c>
      <c r="F10" s="8">
        <f t="shared" si="13"/>
        <v>0.82962898940942731</v>
      </c>
      <c r="G10" s="8">
        <f t="shared" si="13"/>
        <v>0.84969640076210073</v>
      </c>
      <c r="H10" s="8">
        <f>H5/H$4</f>
        <v>0.81848012958535299</v>
      </c>
      <c r="M10" s="8">
        <f t="shared" ref="M10:P10" si="14">M5/M$4</f>
        <v>0.85766885073975052</v>
      </c>
      <c r="N10" s="8">
        <f t="shared" si="14"/>
        <v>0.856262763256046</v>
      </c>
      <c r="O10" s="8">
        <f t="shared" si="14"/>
        <v>0.83961847353666808</v>
      </c>
      <c r="P10" s="8">
        <f t="shared" si="14"/>
        <v>0.85147295110285992</v>
      </c>
    </row>
    <row r="11" spans="2:23" x14ac:dyDescent="0.2">
      <c r="D11" s="8">
        <f t="shared" ref="D11:H11" si="15">D6/D$4</f>
        <v>0.10287700569981365</v>
      </c>
      <c r="E11" s="8">
        <f t="shared" si="15"/>
        <v>0.11019319173516633</v>
      </c>
      <c r="F11" s="8">
        <f t="shared" si="15"/>
        <v>0.13073079490552234</v>
      </c>
      <c r="G11" s="8">
        <f t="shared" si="15"/>
        <v>0.11376226868467568</v>
      </c>
      <c r="H11" s="8">
        <f t="shared" si="15"/>
        <v>0.12637459332665299</v>
      </c>
      <c r="M11" s="8">
        <f t="shared" ref="M11:O11" si="16">M6/M$4</f>
        <v>0.11228084371912284</v>
      </c>
      <c r="N11" s="8">
        <f t="shared" si="16"/>
        <v>0.10493448729779849</v>
      </c>
      <c r="O11" s="8">
        <f t="shared" si="16"/>
        <v>0.12306556361926417</v>
      </c>
      <c r="P11" s="8">
        <f>P6/P$4</f>
        <v>0.11369659305315676</v>
      </c>
    </row>
    <row r="12" spans="2:23" x14ac:dyDescent="0.2">
      <c r="D12" s="8">
        <f t="shared" ref="D12:H12" si="17">D7/D$4</f>
        <v>3.1194384597140471E-2</v>
      </c>
      <c r="E12" s="8">
        <f t="shared" si="17"/>
        <v>4.0747316918196247E-2</v>
      </c>
      <c r="F12" s="8">
        <f t="shared" si="17"/>
        <v>3.9640215685050238E-2</v>
      </c>
      <c r="G12" s="8">
        <f t="shared" si="17"/>
        <v>3.6541330553223575E-2</v>
      </c>
      <c r="H12" s="8">
        <f t="shared" si="17"/>
        <v>5.5145277087994028E-2</v>
      </c>
      <c r="M12" s="8">
        <f t="shared" ref="M12:P12" si="18">M7/M$4</f>
        <v>3.0050305541126653E-2</v>
      </c>
      <c r="N12" s="8">
        <f t="shared" si="18"/>
        <v>3.8802749446155513E-2</v>
      </c>
      <c r="O12" s="8">
        <f t="shared" si="18"/>
        <v>3.7315962844067678E-2</v>
      </c>
      <c r="P12" s="8">
        <f t="shared" si="18"/>
        <v>3.483045584398331E-2</v>
      </c>
    </row>
    <row r="13" spans="2:23" x14ac:dyDescent="0.2">
      <c r="D13" s="8"/>
      <c r="E13" s="8"/>
      <c r="F13" s="8"/>
      <c r="G13" s="8"/>
      <c r="H13" s="8"/>
    </row>
    <row r="15" spans="2:23" x14ac:dyDescent="0.2">
      <c r="C15" s="6" t="s">
        <v>303</v>
      </c>
      <c r="D15" s="1">
        <v>31</v>
      </c>
      <c r="E15" s="1">
        <v>28</v>
      </c>
      <c r="F15" s="1">
        <v>31</v>
      </c>
      <c r="G15" s="1">
        <v>90</v>
      </c>
      <c r="L15" s="6" t="s">
        <v>303</v>
      </c>
      <c r="M15" s="1">
        <v>31</v>
      </c>
      <c r="N15" s="1">
        <v>28</v>
      </c>
      <c r="O15" s="1">
        <v>31</v>
      </c>
      <c r="P15" s="1">
        <v>90</v>
      </c>
    </row>
    <row r="16" spans="2:23" x14ac:dyDescent="0.2">
      <c r="B16" s="385" t="s">
        <v>86</v>
      </c>
      <c r="C16" s="90" t="s">
        <v>319</v>
      </c>
      <c r="D16" s="91" t="s">
        <v>92</v>
      </c>
      <c r="E16" s="91" t="s">
        <v>93</v>
      </c>
      <c r="F16" s="91" t="s">
        <v>61</v>
      </c>
      <c r="G16" s="285" t="s">
        <v>280</v>
      </c>
      <c r="L16" s="90" t="s">
        <v>319</v>
      </c>
      <c r="M16" s="91" t="s">
        <v>92</v>
      </c>
      <c r="N16" s="91" t="s">
        <v>93</v>
      </c>
      <c r="O16" s="91" t="s">
        <v>61</v>
      </c>
      <c r="P16" s="285" t="s">
        <v>280</v>
      </c>
    </row>
    <row r="17" spans="2:16" x14ac:dyDescent="0.2">
      <c r="B17" s="351">
        <f>B4/31</f>
        <v>741004.76962872804</v>
      </c>
      <c r="C17" s="342" t="s">
        <v>326</v>
      </c>
      <c r="D17" s="351">
        <f>D4/D$15</f>
        <v>707485.65491692303</v>
      </c>
      <c r="E17" s="351">
        <f t="shared" ref="E17:G17" si="19">E4/E$15</f>
        <v>541620.43750622601</v>
      </c>
      <c r="F17" s="351">
        <f t="shared" si="19"/>
        <v>556747.21327920363</v>
      </c>
      <c r="G17" s="353">
        <f t="shared" si="19"/>
        <v>603962.12404726946</v>
      </c>
      <c r="L17" s="342" t="s">
        <v>326</v>
      </c>
      <c r="M17" s="351">
        <f t="shared" ref="M17:P17" si="20">M4/M$15</f>
        <v>734421.13878789078</v>
      </c>
      <c r="N17" s="351">
        <f t="shared" si="20"/>
        <v>568763.29464908317</v>
      </c>
      <c r="O17" s="351">
        <f t="shared" si="20"/>
        <v>591424.63263404241</v>
      </c>
      <c r="P17" s="353">
        <f t="shared" si="20"/>
        <v>633628.79071393621</v>
      </c>
    </row>
    <row r="18" spans="2:16" ht="30" x14ac:dyDescent="0.2">
      <c r="B18" s="347">
        <f t="shared" ref="B18:B20" si="21">B5/31</f>
        <v>644901.35898356664</v>
      </c>
      <c r="C18" s="320" t="s">
        <v>327</v>
      </c>
      <c r="D18" s="347">
        <f t="shared" ref="D18:G18" si="22">D5/D$15</f>
        <v>612632.06954706006</v>
      </c>
      <c r="E18" s="347">
        <f t="shared" si="22"/>
        <v>459867.97317197954</v>
      </c>
      <c r="F18" s="347">
        <f t="shared" si="22"/>
        <v>461893.6279093406</v>
      </c>
      <c r="G18" s="349">
        <f t="shared" si="22"/>
        <v>513184.44299959828</v>
      </c>
      <c r="L18" s="320" t="s">
        <v>327</v>
      </c>
      <c r="M18" s="347">
        <f t="shared" ref="M18:O18" si="23">M5/M$15</f>
        <v>629890.13406318903</v>
      </c>
      <c r="N18" s="347">
        <f t="shared" si="23"/>
        <v>487010.83031483664</v>
      </c>
      <c r="O18" s="347">
        <f t="shared" si="23"/>
        <v>496571.04726417933</v>
      </c>
      <c r="P18" s="349">
        <f>P5/P$15</f>
        <v>539517.77633293159</v>
      </c>
    </row>
    <row r="19" spans="2:16" x14ac:dyDescent="0.2">
      <c r="B19" s="338">
        <f t="shared" si="21"/>
        <v>70323.132258064521</v>
      </c>
      <c r="C19" s="321" t="s">
        <v>328</v>
      </c>
      <c r="D19" s="338">
        <f t="shared" ref="D19:G19" si="24">D6/D$15</f>
        <v>72784.005753424673</v>
      </c>
      <c r="E19" s="338">
        <f t="shared" si="24"/>
        <v>59682.884717808236</v>
      </c>
      <c r="F19" s="338">
        <f t="shared" si="24"/>
        <v>72784.005753424673</v>
      </c>
      <c r="G19" s="340">
        <f t="shared" si="24"/>
        <v>68708.101431232892</v>
      </c>
      <c r="L19" s="321" t="s">
        <v>328</v>
      </c>
      <c r="M19" s="338">
        <f t="shared" ref="M19:P19" si="25">M6/M$15</f>
        <v>82461.425108263385</v>
      </c>
      <c r="N19" s="338">
        <f t="shared" si="25"/>
        <v>59682.884717808236</v>
      </c>
      <c r="O19" s="338">
        <f t="shared" si="25"/>
        <v>72784.005753424673</v>
      </c>
      <c r="P19" s="340">
        <f t="shared" si="25"/>
        <v>72041.434764566235</v>
      </c>
    </row>
    <row r="20" spans="2:16" x14ac:dyDescent="0.2">
      <c r="B20" s="302">
        <f t="shared" si="21"/>
        <v>25780.278387096776</v>
      </c>
      <c r="C20" s="343" t="s">
        <v>285</v>
      </c>
      <c r="D20" s="302">
        <f t="shared" ref="D20:G20" si="26">D7/D$15</f>
        <v>22069.579616438299</v>
      </c>
      <c r="E20" s="302">
        <f t="shared" si="26"/>
        <v>22069.579616438299</v>
      </c>
      <c r="F20" s="302">
        <f t="shared" si="26"/>
        <v>22069.579616438299</v>
      </c>
      <c r="G20" s="345">
        <f t="shared" si="26"/>
        <v>22069.579616438299</v>
      </c>
      <c r="L20" s="343" t="s">
        <v>285</v>
      </c>
      <c r="M20" s="302">
        <f t="shared" ref="M20:P20" si="27">M7/M$15</f>
        <v>22069.579616438299</v>
      </c>
      <c r="N20" s="302">
        <f t="shared" si="27"/>
        <v>22069.579616438299</v>
      </c>
      <c r="O20" s="302">
        <f t="shared" si="27"/>
        <v>22069.579616438299</v>
      </c>
      <c r="P20" s="345">
        <f t="shared" si="27"/>
        <v>22069.579616438299</v>
      </c>
    </row>
    <row r="24" spans="2:16" x14ac:dyDescent="0.2">
      <c r="C24" s="90" t="s">
        <v>304</v>
      </c>
      <c r="D24" s="91" t="s">
        <v>92</v>
      </c>
      <c r="E24" s="91" t="s">
        <v>93</v>
      </c>
      <c r="F24" s="91" t="s">
        <v>61</v>
      </c>
      <c r="G24"/>
      <c r="L24" s="90" t="s">
        <v>304</v>
      </c>
      <c r="M24" s="91" t="s">
        <v>92</v>
      </c>
      <c r="N24" s="91" t="s">
        <v>93</v>
      </c>
      <c r="O24" s="91" t="s">
        <v>61</v>
      </c>
      <c r="P24"/>
    </row>
    <row r="25" spans="2:16" x14ac:dyDescent="0.2">
      <c r="C25" s="342" t="s">
        <v>326</v>
      </c>
      <c r="D25" s="355">
        <f>D17/B17-1</f>
        <v>-4.523468145636822E-2</v>
      </c>
      <c r="E25" s="355">
        <f>E17/D17-1</f>
        <v>-0.23444322334729717</v>
      </c>
      <c r="F25" s="355">
        <f t="shared" ref="F25" si="28">F17/E17-1</f>
        <v>2.7928738883313819E-2</v>
      </c>
      <c r="G25"/>
      <c r="L25" s="342" t="s">
        <v>326</v>
      </c>
      <c r="M25" s="355">
        <f>M17/B17-1</f>
        <v>-8.8847347691647371E-3</v>
      </c>
      <c r="N25" s="355">
        <f t="shared" ref="N25:O25" si="29">N17/M17-1</f>
        <v>-0.22556246734974694</v>
      </c>
      <c r="O25" s="355">
        <f t="shared" si="29"/>
        <v>3.9843179400212314E-2</v>
      </c>
      <c r="P25"/>
    </row>
    <row r="26" spans="2:16" ht="30" x14ac:dyDescent="0.2">
      <c r="C26" s="320" t="s">
        <v>327</v>
      </c>
      <c r="D26" s="359">
        <f t="shared" ref="D26:D28" si="30">D18/B18-1</f>
        <v>-5.0037558437411866E-2</v>
      </c>
      <c r="E26" s="359">
        <f t="shared" ref="E26:F26" si="31">E18/D18-1</f>
        <v>-0.24935700229996816</v>
      </c>
      <c r="F26" s="359">
        <f t="shared" si="31"/>
        <v>4.4048615157714632E-3</v>
      </c>
      <c r="G26"/>
      <c r="L26" s="320" t="s">
        <v>327</v>
      </c>
      <c r="M26" s="359">
        <f t="shared" ref="M26:M28" si="32">M18/B18-1</f>
        <v>-2.3276776690371537E-2</v>
      </c>
      <c r="N26" s="359">
        <f t="shared" ref="N26:O26" si="33">N18/M18-1</f>
        <v>-0.22683210296800604</v>
      </c>
      <c r="O26" s="359">
        <f t="shared" si="33"/>
        <v>1.9630399067639415E-2</v>
      </c>
      <c r="P26"/>
    </row>
    <row r="27" spans="2:16" x14ac:dyDescent="0.2">
      <c r="C27" s="321" t="s">
        <v>328</v>
      </c>
      <c r="D27" s="363">
        <f t="shared" si="30"/>
        <v>3.4993798147805677E-2</v>
      </c>
      <c r="E27" s="363">
        <f t="shared" ref="E27:F27" si="34">E19/D19-1</f>
        <v>-0.17999999999999994</v>
      </c>
      <c r="F27" s="363">
        <f t="shared" si="34"/>
        <v>0.21951219512195119</v>
      </c>
      <c r="G27"/>
      <c r="L27" s="321" t="s">
        <v>328</v>
      </c>
      <c r="M27" s="363">
        <f t="shared" si="32"/>
        <v>0.17260739760076405</v>
      </c>
      <c r="N27" s="363">
        <f t="shared" ref="N27:O27" si="35">N19/M19-1</f>
        <v>-0.27623267922606554</v>
      </c>
      <c r="O27" s="363">
        <f t="shared" si="35"/>
        <v>0.21951219512195119</v>
      </c>
      <c r="P27"/>
    </row>
    <row r="28" spans="2:16" x14ac:dyDescent="0.2">
      <c r="C28" s="343" t="s">
        <v>285</v>
      </c>
      <c r="D28" s="316">
        <f t="shared" si="30"/>
        <v>-0.14393555860574836</v>
      </c>
      <c r="E28" s="316">
        <f>E20/D20-1</f>
        <v>0</v>
      </c>
      <c r="F28" s="316">
        <f t="shared" ref="F28" si="36">F20/E20-1</f>
        <v>0</v>
      </c>
      <c r="G28"/>
      <c r="L28" s="343" t="s">
        <v>285</v>
      </c>
      <c r="M28" s="316">
        <f t="shared" si="32"/>
        <v>-0.14393555860574836</v>
      </c>
      <c r="N28" s="316">
        <f t="shared" ref="N28:O28" si="37">N20/M20-1</f>
        <v>0</v>
      </c>
      <c r="O28" s="316">
        <f t="shared" si="37"/>
        <v>0</v>
      </c>
      <c r="P28"/>
    </row>
    <row r="32" spans="2:16" x14ac:dyDescent="0.2">
      <c r="C32" s="90" t="s">
        <v>330</v>
      </c>
      <c r="D32" s="91" t="s">
        <v>92</v>
      </c>
      <c r="E32" s="91" t="s">
        <v>93</v>
      </c>
      <c r="F32" s="91" t="s">
        <v>61</v>
      </c>
      <c r="G32" s="285" t="s">
        <v>280</v>
      </c>
      <c r="L32" s="90" t="s">
        <v>330</v>
      </c>
      <c r="M32" s="91" t="s">
        <v>92</v>
      </c>
      <c r="N32" s="91" t="s">
        <v>93</v>
      </c>
      <c r="O32" s="91" t="s">
        <v>61</v>
      </c>
      <c r="P32" s="285" t="s">
        <v>280</v>
      </c>
    </row>
    <row r="33" spans="3:16" x14ac:dyDescent="0.2">
      <c r="C33" s="342" t="s">
        <v>326</v>
      </c>
      <c r="D33" s="355">
        <f>D4/$H4</f>
        <v>0.1007874388967845</v>
      </c>
      <c r="E33" s="355">
        <f t="shared" ref="E33:F33" si="38">E4/$H4</f>
        <v>6.9691554573203238E-2</v>
      </c>
      <c r="F33" s="355">
        <f t="shared" si="38"/>
        <v>7.9313446639313001E-2</v>
      </c>
      <c r="G33" s="357">
        <f>G4/$H4</f>
        <v>0.24979244010930074</v>
      </c>
      <c r="L33" s="342" t="s">
        <v>326</v>
      </c>
      <c r="M33" s="355">
        <f>M4/$H4</f>
        <v>0.10462463109415741</v>
      </c>
      <c r="N33" s="355">
        <f t="shared" ref="N33:P33" si="39">N4/$H4</f>
        <v>7.3184088788776192E-2</v>
      </c>
      <c r="O33" s="355">
        <f t="shared" si="39"/>
        <v>8.4253544378445802E-2</v>
      </c>
      <c r="P33" s="357">
        <f t="shared" si="39"/>
        <v>0.26206226426137941</v>
      </c>
    </row>
    <row r="34" spans="3:16" ht="30" x14ac:dyDescent="0.2">
      <c r="C34" s="320" t="s">
        <v>327</v>
      </c>
      <c r="D34" s="359">
        <f>D5/$H5</f>
        <v>0.10663023289720815</v>
      </c>
      <c r="E34" s="359">
        <f t="shared" ref="E34:F34" si="40">E5/$H5</f>
        <v>7.2295311441534199E-2</v>
      </c>
      <c r="F34" s="359">
        <f t="shared" si="40"/>
        <v>8.0393808234888786E-2</v>
      </c>
      <c r="G34" s="361">
        <f>G5/$H5</f>
        <v>0.25931935257363115</v>
      </c>
      <c r="L34" s="320" t="s">
        <v>327</v>
      </c>
      <c r="M34" s="359">
        <f t="shared" ref="M34:P34" si="41">M5/$H5</f>
        <v>0.10963404469581417</v>
      </c>
      <c r="N34" s="359">
        <f t="shared" si="41"/>
        <v>7.6562408576002564E-2</v>
      </c>
      <c r="O34" s="359">
        <f t="shared" si="41"/>
        <v>8.6429504839564422E-2</v>
      </c>
      <c r="P34" s="361">
        <f t="shared" si="41"/>
        <v>0.27262595811138118</v>
      </c>
    </row>
    <row r="35" spans="3:16" x14ac:dyDescent="0.2">
      <c r="C35" s="321" t="s">
        <v>328</v>
      </c>
      <c r="D35" s="363">
        <f t="shared" ref="D35:F35" si="42">D6/$H6</f>
        <v>8.2047424667496913E-2</v>
      </c>
      <c r="E35" s="363">
        <f t="shared" si="42"/>
        <v>6.0768028076313846E-2</v>
      </c>
      <c r="F35" s="363">
        <f t="shared" si="42"/>
        <v>8.2047424667496913E-2</v>
      </c>
      <c r="G35" s="365">
        <f>G6/$H6</f>
        <v>0.22486287741130767</v>
      </c>
      <c r="L35" s="321" t="s">
        <v>328</v>
      </c>
      <c r="M35" s="363">
        <f t="shared" ref="M35:O35" si="43">M6/$H6</f>
        <v>9.2956515576587823E-2</v>
      </c>
      <c r="N35" s="363">
        <f t="shared" si="43"/>
        <v>6.0768028076313846E-2</v>
      </c>
      <c r="O35" s="363">
        <f t="shared" si="43"/>
        <v>8.2047424667496913E-2</v>
      </c>
      <c r="P35" s="365">
        <f>P6/$H6</f>
        <v>0.23577196832039857</v>
      </c>
    </row>
    <row r="36" spans="3:16" x14ac:dyDescent="0.2">
      <c r="C36" s="343" t="s">
        <v>285</v>
      </c>
      <c r="D36" s="316">
        <f t="shared" ref="D36:F36" si="44">D7/$H7</f>
        <v>5.7013080675798945E-2</v>
      </c>
      <c r="E36" s="316">
        <f t="shared" si="44"/>
        <v>5.1495685771689365E-2</v>
      </c>
      <c r="F36" s="316">
        <f t="shared" si="44"/>
        <v>5.7013080675798945E-2</v>
      </c>
      <c r="G36" s="368">
        <f>G7/$H7</f>
        <v>0.16552184712328724</v>
      </c>
      <c r="L36" s="343" t="s">
        <v>285</v>
      </c>
      <c r="M36" s="316">
        <f t="shared" ref="M36:O36" si="45">M7/$H7</f>
        <v>5.7013080675798945E-2</v>
      </c>
      <c r="N36" s="316">
        <f t="shared" si="45"/>
        <v>5.1495685771689365E-2</v>
      </c>
      <c r="O36" s="316">
        <f t="shared" si="45"/>
        <v>5.7013080675798945E-2</v>
      </c>
      <c r="P36" s="368">
        <f>P7/$H7</f>
        <v>0.16552184712328724</v>
      </c>
    </row>
    <row r="40" spans="3:16" x14ac:dyDescent="0.2">
      <c r="C40" s="90" t="s">
        <v>57</v>
      </c>
      <c r="D40" s="91" t="s">
        <v>92</v>
      </c>
      <c r="E40" s="91" t="s">
        <v>93</v>
      </c>
      <c r="F40" s="91" t="s">
        <v>61</v>
      </c>
      <c r="G40" s="285" t="s">
        <v>333</v>
      </c>
    </row>
    <row r="41" spans="3:16" x14ac:dyDescent="0.2">
      <c r="C41" s="342" t="s">
        <v>300</v>
      </c>
      <c r="D41" s="351">
        <v>23226680.764999997</v>
      </c>
      <c r="E41" s="351">
        <v>16184643.320878342</v>
      </c>
      <c r="F41" s="351">
        <v>18883027.534689799</v>
      </c>
      <c r="G41" s="353">
        <v>58294351.620568141</v>
      </c>
    </row>
    <row r="42" spans="3:16" ht="30" x14ac:dyDescent="0.2">
      <c r="C42" s="320" t="s">
        <v>305</v>
      </c>
      <c r="D42" s="347">
        <v>19601680.764999997</v>
      </c>
      <c r="E42" s="347">
        <v>13951219.353999998</v>
      </c>
      <c r="F42" s="347">
        <v>15859315.39996757</v>
      </c>
      <c r="G42" s="349">
        <v>49412215.518967569</v>
      </c>
    </row>
    <row r="43" spans="3:16" x14ac:dyDescent="0.2">
      <c r="C43" s="321" t="s">
        <v>274</v>
      </c>
      <c r="D43" s="338">
        <v>2850000</v>
      </c>
      <c r="E43" s="338">
        <v>1600000</v>
      </c>
      <c r="F43" s="338">
        <v>2200000</v>
      </c>
      <c r="G43" s="340">
        <v>6650000</v>
      </c>
    </row>
    <row r="44" spans="3:16" x14ac:dyDescent="0.2">
      <c r="C44" s="343" t="s">
        <v>298</v>
      </c>
      <c r="D44" s="302">
        <v>775000</v>
      </c>
      <c r="E44" s="302">
        <v>633423.96687834384</v>
      </c>
      <c r="F44" s="302">
        <v>823712.13472223061</v>
      </c>
      <c r="G44" s="345">
        <v>2232136.1016005743</v>
      </c>
    </row>
    <row r="48" spans="3:16" x14ac:dyDescent="0.2">
      <c r="C48" s="90" t="s">
        <v>336</v>
      </c>
      <c r="D48" s="91" t="s">
        <v>92</v>
      </c>
      <c r="E48" s="91" t="s">
        <v>93</v>
      </c>
      <c r="F48" s="91" t="s">
        <v>61</v>
      </c>
      <c r="G48" s="285" t="s">
        <v>333</v>
      </c>
      <c r="L48" s="90" t="s">
        <v>336</v>
      </c>
      <c r="M48" s="91" t="s">
        <v>92</v>
      </c>
      <c r="N48" s="91" t="s">
        <v>93</v>
      </c>
      <c r="O48" s="91" t="s">
        <v>61</v>
      </c>
      <c r="P48" s="285" t="s">
        <v>333</v>
      </c>
    </row>
    <row r="49" spans="3:16" x14ac:dyDescent="0.2">
      <c r="C49" s="342" t="s">
        <v>300</v>
      </c>
      <c r="D49" s="355">
        <f>D4/D41</f>
        <v>0.94426127970354512</v>
      </c>
      <c r="E49" s="355">
        <f t="shared" ref="E49:G49" si="46">E4/E41</f>
        <v>0.93702233342460228</v>
      </c>
      <c r="F49" s="355">
        <f t="shared" si="46"/>
        <v>0.91400404834175542</v>
      </c>
      <c r="G49" s="357">
        <f t="shared" si="46"/>
        <v>0.93245039447484801</v>
      </c>
      <c r="L49" s="342" t="s">
        <v>300</v>
      </c>
      <c r="M49" s="355">
        <f>M4/D41</f>
        <v>0.9802113152875469</v>
      </c>
      <c r="N49" s="355">
        <f t="shared" ref="N49:P49" si="47">N4/E41</f>
        <v>0.98398042727518431</v>
      </c>
      <c r="O49" s="355">
        <f t="shared" si="47"/>
        <v>0.97093347864762825</v>
      </c>
      <c r="P49" s="357">
        <f t="shared" si="47"/>
        <v>0.97825243062028366</v>
      </c>
    </row>
    <row r="50" spans="3:16" ht="30" x14ac:dyDescent="0.2">
      <c r="C50" s="320" t="s">
        <v>305</v>
      </c>
      <c r="D50" s="359">
        <f t="shared" ref="D50:G50" si="48">D5/D42</f>
        <v>0.96887580119504435</v>
      </c>
      <c r="E50" s="359">
        <f t="shared" si="48"/>
        <v>0.9229518167617099</v>
      </c>
      <c r="F50" s="359">
        <f t="shared" si="48"/>
        <v>0.9028575385554688</v>
      </c>
      <c r="G50" s="361">
        <f t="shared" si="48"/>
        <v>0.93472027887991538</v>
      </c>
      <c r="L50" s="320" t="s">
        <v>305</v>
      </c>
      <c r="M50" s="359">
        <f t="shared" ref="M50:P50" si="49">M5/D42</f>
        <v>0.99616937904757596</v>
      </c>
      <c r="N50" s="359">
        <f t="shared" si="49"/>
        <v>0.97742734185494107</v>
      </c>
      <c r="O50" s="359">
        <f t="shared" si="49"/>
        <v>0.97064104451955335</v>
      </c>
      <c r="P50" s="361">
        <f t="shared" si="49"/>
        <v>0.98268412699132501</v>
      </c>
    </row>
    <row r="51" spans="3:16" x14ac:dyDescent="0.2">
      <c r="C51" s="321" t="s">
        <v>274</v>
      </c>
      <c r="D51" s="363">
        <f t="shared" ref="D51:G51" si="50">D6/D43</f>
        <v>0.79168567661619826</v>
      </c>
      <c r="E51" s="363">
        <f t="shared" si="50"/>
        <v>1.0444504825616441</v>
      </c>
      <c r="F51" s="363">
        <f t="shared" si="50"/>
        <v>1.0255928083437114</v>
      </c>
      <c r="G51" s="365">
        <f t="shared" si="50"/>
        <v>0.92988407952044527</v>
      </c>
      <c r="L51" s="321" t="s">
        <v>274</v>
      </c>
      <c r="M51" s="363">
        <f t="shared" ref="M51:P51" si="51">M6/D43</f>
        <v>0.8969488345109351</v>
      </c>
      <c r="N51" s="363">
        <f t="shared" si="51"/>
        <v>1.0444504825616441</v>
      </c>
      <c r="O51" s="363">
        <f t="shared" si="51"/>
        <v>1.0255928083437114</v>
      </c>
      <c r="P51" s="365">
        <f t="shared" si="51"/>
        <v>0.97499686147533249</v>
      </c>
    </row>
    <row r="52" spans="3:16" x14ac:dyDescent="0.2">
      <c r="C52" s="343" t="s">
        <v>298</v>
      </c>
      <c r="D52" s="316">
        <f t="shared" ref="D52:G52" si="52">D7/D44</f>
        <v>0.88278318465753203</v>
      </c>
      <c r="E52" s="316">
        <f t="shared" si="52"/>
        <v>0.97556812115218905</v>
      </c>
      <c r="F52" s="316">
        <f t="shared" si="52"/>
        <v>0.83057774587756483</v>
      </c>
      <c r="G52" s="368">
        <f t="shared" si="52"/>
        <v>0.88984814324501926</v>
      </c>
      <c r="L52" s="343" t="s">
        <v>298</v>
      </c>
      <c r="M52" s="316">
        <f t="shared" ref="M52:P52" si="53">M7/D44</f>
        <v>0.88278318465753203</v>
      </c>
      <c r="N52" s="316">
        <f t="shared" si="53"/>
        <v>0.97556812115218905</v>
      </c>
      <c r="O52" s="316">
        <f t="shared" si="53"/>
        <v>0.83057774587756483</v>
      </c>
      <c r="P52" s="368">
        <f t="shared" si="53"/>
        <v>0.88984814324501926</v>
      </c>
    </row>
    <row r="56" spans="3:16" x14ac:dyDescent="0.2">
      <c r="C56" s="90" t="s">
        <v>348</v>
      </c>
      <c r="D56" s="91" t="s">
        <v>92</v>
      </c>
      <c r="E56" s="91" t="s">
        <v>93</v>
      </c>
      <c r="F56" s="91" t="s">
        <v>61</v>
      </c>
      <c r="G56" s="285" t="s">
        <v>333</v>
      </c>
    </row>
    <row r="57" spans="3:16" x14ac:dyDescent="0.2">
      <c r="C57" s="342" t="s">
        <v>300</v>
      </c>
      <c r="D57" s="351">
        <v>26183689.379999995</v>
      </c>
      <c r="E57" s="351">
        <v>18907275.77</v>
      </c>
      <c r="F57" s="351">
        <v>21181039.092830185</v>
      </c>
      <c r="G57" s="353">
        <v>66272004.242830172</v>
      </c>
    </row>
    <row r="58" spans="3:16" ht="30" x14ac:dyDescent="0.2">
      <c r="C58" s="320" t="s">
        <v>305</v>
      </c>
      <c r="D58" s="347">
        <v>23060800.899999999</v>
      </c>
      <c r="E58" s="347">
        <v>16413199.239999998</v>
      </c>
      <c r="F58" s="347">
        <v>18356697.632830188</v>
      </c>
      <c r="G58" s="349">
        <v>57830697.772830188</v>
      </c>
    </row>
    <row r="59" spans="3:16" x14ac:dyDescent="0.2">
      <c r="C59" s="321" t="s">
        <v>274</v>
      </c>
      <c r="D59" s="338">
        <v>2549751.2000000002</v>
      </c>
      <c r="E59" s="338">
        <v>1880081.8</v>
      </c>
      <c r="F59" s="338">
        <v>2130051.1999999997</v>
      </c>
      <c r="G59" s="340">
        <v>6559884.1999999993</v>
      </c>
    </row>
    <row r="60" spans="3:16" x14ac:dyDescent="0.2">
      <c r="C60" s="343" t="s">
        <v>298</v>
      </c>
      <c r="D60" s="302">
        <v>573137.28</v>
      </c>
      <c r="E60" s="302">
        <v>613994.72999999905</v>
      </c>
      <c r="F60" s="302">
        <v>694290.25999999605</v>
      </c>
      <c r="G60" s="345">
        <v>1881422.2699999951</v>
      </c>
    </row>
    <row r="62" spans="3:16" x14ac:dyDescent="0.2">
      <c r="C62" s="391" t="s">
        <v>331</v>
      </c>
      <c r="L62" s="391" t="s">
        <v>332</v>
      </c>
    </row>
    <row r="63" spans="3:16" x14ac:dyDescent="0.2">
      <c r="C63" s="90" t="s">
        <v>352</v>
      </c>
      <c r="D63" s="91" t="s">
        <v>92</v>
      </c>
      <c r="E63" s="91" t="s">
        <v>93</v>
      </c>
      <c r="F63" s="91" t="s">
        <v>61</v>
      </c>
      <c r="G63" s="285" t="s">
        <v>280</v>
      </c>
      <c r="L63" s="90" t="s">
        <v>352</v>
      </c>
      <c r="M63" s="91" t="s">
        <v>92</v>
      </c>
      <c r="N63" s="91" t="s">
        <v>93</v>
      </c>
      <c r="O63" s="91" t="s">
        <v>61</v>
      </c>
      <c r="P63" s="285" t="s">
        <v>280</v>
      </c>
    </row>
    <row r="64" spans="3:16" x14ac:dyDescent="0.2">
      <c r="C64" s="342" t="s">
        <v>326</v>
      </c>
      <c r="D64" s="355">
        <f>D4/D57-1</f>
        <v>-0.16237719657730609</v>
      </c>
      <c r="E64" s="355">
        <f t="shared" ref="E64:G64" si="54">E4/E57-1</f>
        <v>-0.19790812623375997</v>
      </c>
      <c r="F64" s="355">
        <f t="shared" si="54"/>
        <v>-0.18515973007681352</v>
      </c>
      <c r="G64" s="357">
        <f t="shared" si="54"/>
        <v>-0.17979557453726802</v>
      </c>
      <c r="L64" s="342" t="s">
        <v>326</v>
      </c>
      <c r="M64" s="355">
        <f>M4/D57-1</f>
        <v>-0.1304871146304204</v>
      </c>
      <c r="N64" s="355">
        <f t="shared" ref="N64:P64" si="55">N4/E57-1</f>
        <v>-0.1577119599935719</v>
      </c>
      <c r="O64" s="355">
        <f t="shared" si="55"/>
        <v>-0.13440679037028658</v>
      </c>
      <c r="P64" s="357">
        <f t="shared" si="55"/>
        <v>-0.13950706914943134</v>
      </c>
    </row>
    <row r="65" spans="3:16" ht="30" x14ac:dyDescent="0.2">
      <c r="C65" s="320" t="s">
        <v>305</v>
      </c>
      <c r="D65" s="359">
        <f>D5/D58-1</f>
        <v>-0.17645556898421244</v>
      </c>
      <c r="E65" s="359">
        <f t="shared" ref="E65:G65" si="56">E5/E58-1</f>
        <v>-0.21549095575254662</v>
      </c>
      <c r="F65" s="359">
        <f t="shared" si="56"/>
        <v>-0.21997394348419419</v>
      </c>
      <c r="G65" s="361">
        <f t="shared" si="56"/>
        <v>-0.20134804440033804</v>
      </c>
      <c r="L65" s="320" t="s">
        <v>305</v>
      </c>
      <c r="M65" s="359">
        <f t="shared" ref="M65:P65" si="57">M5/D58-1</f>
        <v>-0.15325602780956049</v>
      </c>
      <c r="N65" s="359">
        <f t="shared" si="57"/>
        <v>-0.16918675942330008</v>
      </c>
      <c r="O65" s="359">
        <f t="shared" si="57"/>
        <v>-0.16141221187526866</v>
      </c>
      <c r="P65" s="361">
        <f t="shared" si="57"/>
        <v>-0.16036634970749852</v>
      </c>
    </row>
    <row r="66" spans="3:16" x14ac:dyDescent="0.2">
      <c r="C66" s="321" t="s">
        <v>328</v>
      </c>
      <c r="D66" s="363">
        <f t="shared" ref="D66:G66" si="58">D6/D59-1</f>
        <v>-0.11508849241597974</v>
      </c>
      <c r="E66" s="363">
        <f t="shared" si="58"/>
        <v>-0.1111446469517281</v>
      </c>
      <c r="F66" s="363">
        <f t="shared" si="58"/>
        <v>5.9272273997998504E-2</v>
      </c>
      <c r="G66" s="365">
        <f t="shared" si="58"/>
        <v>-5.7341724292791385E-2</v>
      </c>
      <c r="L66" s="321" t="s">
        <v>328</v>
      </c>
      <c r="M66" s="363">
        <f t="shared" ref="M66:P66" si="59">M6/D59-1</f>
        <v>2.5700461896693838E-3</v>
      </c>
      <c r="N66" s="363">
        <f t="shared" si="59"/>
        <v>-0.1111446469517281</v>
      </c>
      <c r="O66" s="363">
        <f t="shared" si="59"/>
        <v>5.9272273997998504E-2</v>
      </c>
      <c r="P66" s="365">
        <f t="shared" si="59"/>
        <v>-1.1609209685292665E-2</v>
      </c>
    </row>
    <row r="67" spans="3:16" x14ac:dyDescent="0.2">
      <c r="C67" s="343" t="s">
        <v>285</v>
      </c>
      <c r="D67" s="316">
        <f t="shared" ref="D67:G67" si="60">D7/D60-1</f>
        <v>0.19370522906761067</v>
      </c>
      <c r="E67" s="316">
        <f t="shared" si="60"/>
        <v>6.438979142823209E-3</v>
      </c>
      <c r="F67" s="316">
        <f t="shared" si="60"/>
        <v>-1.4595180825968668E-2</v>
      </c>
      <c r="G67" s="368">
        <f t="shared" si="60"/>
        <v>5.5723745355396481E-2</v>
      </c>
      <c r="L67" s="343" t="s">
        <v>285</v>
      </c>
      <c r="M67" s="316">
        <f t="shared" ref="M67:P67" si="61">M7/D60-1</f>
        <v>0.19370522906761067</v>
      </c>
      <c r="N67" s="316">
        <f t="shared" si="61"/>
        <v>6.438979142823209E-3</v>
      </c>
      <c r="O67" s="316">
        <f t="shared" si="61"/>
        <v>-1.4595180825968668E-2</v>
      </c>
      <c r="P67" s="368">
        <f t="shared" si="61"/>
        <v>5.5723745355396481E-2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99FD-3EE1-4E62-8320-E60F10167342}">
  <sheetPr>
    <tabColor theme="0" tint="-0.34998626667073579"/>
  </sheetPr>
  <dimension ref="A1:K49"/>
  <sheetViews>
    <sheetView workbookViewId="0">
      <selection activeCell="H33" sqref="H33"/>
    </sheetView>
  </sheetViews>
  <sheetFormatPr defaultRowHeight="14.25" x14ac:dyDescent="0.2"/>
  <cols>
    <col min="1" max="1" width="12.75" style="524" bestFit="1" customWidth="1"/>
    <col min="2" max="2" width="18.875" style="524" bestFit="1" customWidth="1"/>
    <col min="3" max="3" width="22.75" style="524" bestFit="1" customWidth="1"/>
    <col min="4" max="5" width="12.875" bestFit="1" customWidth="1"/>
    <col min="7" max="7" width="11.375" bestFit="1" customWidth="1"/>
    <col min="8" max="9" width="12.875" bestFit="1" customWidth="1"/>
    <col min="11" max="11" width="11.375" bestFit="1" customWidth="1"/>
  </cols>
  <sheetData>
    <row r="1" spans="1:11" ht="24.75" x14ac:dyDescent="0.2">
      <c r="A1" s="532" t="s">
        <v>398</v>
      </c>
      <c r="B1" s="488"/>
      <c r="C1" s="488"/>
    </row>
    <row r="2" spans="1:11" ht="18" x14ac:dyDescent="0.2">
      <c r="A2" s="489" t="s">
        <v>399</v>
      </c>
      <c r="B2" s="490" t="s">
        <v>400</v>
      </c>
      <c r="C2" s="490" t="s">
        <v>401</v>
      </c>
      <c r="G2" t="s">
        <v>405</v>
      </c>
      <c r="H2" t="s">
        <v>406</v>
      </c>
    </row>
    <row r="3" spans="1:11" ht="17.25" x14ac:dyDescent="0.2">
      <c r="A3" s="533">
        <v>46023</v>
      </c>
      <c r="B3" s="534">
        <v>35750000</v>
      </c>
      <c r="C3" s="534">
        <v>3200000</v>
      </c>
      <c r="D3" s="491">
        <f>C3*0.8/1.13</f>
        <v>2265486.7256637169</v>
      </c>
      <c r="E3" s="492">
        <f>D3+D20</f>
        <v>5299226.4549496304</v>
      </c>
      <c r="G3" s="61">
        <f>C3/31*7</f>
        <v>722580.64516129042</v>
      </c>
      <c r="H3" s="61">
        <f>B3/31</f>
        <v>1153225.8064516129</v>
      </c>
    </row>
    <row r="4" spans="1:11" ht="17.25" x14ac:dyDescent="0.2">
      <c r="A4" s="533">
        <v>46054</v>
      </c>
      <c r="B4" s="534">
        <v>22750000</v>
      </c>
      <c r="C4" s="534">
        <v>2600000</v>
      </c>
      <c r="G4" s="61"/>
      <c r="H4" s="61">
        <f>B4/28</f>
        <v>812500</v>
      </c>
      <c r="I4" s="493"/>
      <c r="J4" s="61">
        <v>47854856.280000001</v>
      </c>
      <c r="K4" s="61">
        <f>B3+B4-J4</f>
        <v>10645143.719999999</v>
      </c>
    </row>
    <row r="5" spans="1:11" ht="17.25" x14ac:dyDescent="0.2">
      <c r="A5" s="533">
        <v>46082</v>
      </c>
      <c r="B5" s="534">
        <v>32500000</v>
      </c>
      <c r="C5" s="534">
        <v>5800000</v>
      </c>
      <c r="E5" s="597">
        <f>B5/310000</f>
        <v>104.83870967741936</v>
      </c>
    </row>
    <row r="6" spans="1:11" ht="17.25" x14ac:dyDescent="0.2">
      <c r="A6" s="533">
        <v>46113</v>
      </c>
      <c r="B6" s="534">
        <v>52000000</v>
      </c>
      <c r="C6" s="534">
        <v>13500000</v>
      </c>
      <c r="D6" s="67">
        <f>B6/B5-1</f>
        <v>0.60000000000000009</v>
      </c>
      <c r="E6" s="597">
        <f>B6/300000</f>
        <v>173.33333333333334</v>
      </c>
      <c r="F6" s="67">
        <f>E6/E5-1</f>
        <v>0.65333333333333332</v>
      </c>
      <c r="G6">
        <v>36683170.659999996</v>
      </c>
      <c r="H6" s="67">
        <f>B6/G6-1</f>
        <v>0.41754376910231916</v>
      </c>
    </row>
    <row r="7" spans="1:11" ht="17.25" x14ac:dyDescent="0.2">
      <c r="A7" s="533">
        <v>46143</v>
      </c>
      <c r="B7" s="534">
        <v>55250000</v>
      </c>
      <c r="C7" s="534">
        <v>12750000</v>
      </c>
    </row>
    <row r="8" spans="1:11" ht="17.25" x14ac:dyDescent="0.2">
      <c r="A8" s="533">
        <v>46174</v>
      </c>
      <c r="B8" s="534">
        <v>61750000</v>
      </c>
      <c r="C8" s="534">
        <v>14250000</v>
      </c>
    </row>
    <row r="9" spans="1:11" ht="17.25" x14ac:dyDescent="0.2">
      <c r="A9" s="533">
        <v>46204</v>
      </c>
      <c r="B9" s="534">
        <v>58500000</v>
      </c>
      <c r="C9" s="534">
        <v>15000000</v>
      </c>
    </row>
    <row r="10" spans="1:11" ht="17.25" x14ac:dyDescent="0.2">
      <c r="A10" s="533">
        <v>46235</v>
      </c>
      <c r="B10" s="534">
        <v>61750000</v>
      </c>
      <c r="C10" s="534">
        <v>15000000</v>
      </c>
    </row>
    <row r="11" spans="1:11" ht="17.25" x14ac:dyDescent="0.2">
      <c r="A11" s="533">
        <v>46266</v>
      </c>
      <c r="B11" s="534">
        <v>61750000</v>
      </c>
      <c r="C11" s="534">
        <v>15000000</v>
      </c>
    </row>
    <row r="12" spans="1:11" ht="17.25" x14ac:dyDescent="0.2">
      <c r="A12" s="533">
        <v>46296</v>
      </c>
      <c r="B12" s="534">
        <v>55250000</v>
      </c>
      <c r="C12" s="534">
        <v>16750000</v>
      </c>
    </row>
    <row r="13" spans="1:11" ht="17.25" x14ac:dyDescent="0.2">
      <c r="A13" s="533">
        <v>46327</v>
      </c>
      <c r="B13" s="534">
        <v>84500000</v>
      </c>
      <c r="C13" s="534">
        <v>21250000</v>
      </c>
    </row>
    <row r="14" spans="1:11" ht="17.25" x14ac:dyDescent="0.2">
      <c r="A14" s="533">
        <v>46357</v>
      </c>
      <c r="B14" s="534">
        <v>68250000</v>
      </c>
      <c r="C14" s="534">
        <v>14900000</v>
      </c>
    </row>
    <row r="15" spans="1:11" ht="21" x14ac:dyDescent="0.2">
      <c r="A15" s="535" t="s">
        <v>302</v>
      </c>
      <c r="B15" s="536">
        <f>SUM(B3:B14)</f>
        <v>650000000</v>
      </c>
      <c r="C15" s="536">
        <f>SUM(C3:C14)</f>
        <v>150000000</v>
      </c>
    </row>
    <row r="18" spans="1:4" ht="24.75" x14ac:dyDescent="0.2">
      <c r="A18" s="532" t="s">
        <v>402</v>
      </c>
      <c r="B18" s="488"/>
      <c r="C18" s="488"/>
    </row>
    <row r="19" spans="1:4" ht="18" x14ac:dyDescent="0.2">
      <c r="A19" s="489" t="s">
        <v>399</v>
      </c>
      <c r="B19" s="490" t="s">
        <v>403</v>
      </c>
      <c r="C19" s="490" t="s">
        <v>404</v>
      </c>
    </row>
    <row r="20" spans="1:4" ht="17.25" x14ac:dyDescent="0.2">
      <c r="A20" s="533">
        <v>46023</v>
      </c>
      <c r="B20" s="534">
        <v>3721244.1559525798</v>
      </c>
      <c r="C20" s="534">
        <v>687504.42666666606</v>
      </c>
      <c r="D20" s="492">
        <f>B20-C20</f>
        <v>3033739.7292859135</v>
      </c>
    </row>
    <row r="21" spans="1:4" ht="17.25" x14ac:dyDescent="0.2">
      <c r="A21" s="533">
        <v>46054</v>
      </c>
      <c r="B21" s="534">
        <v>2604870.9091668101</v>
      </c>
      <c r="C21" s="534">
        <v>558597.34666666703</v>
      </c>
    </row>
    <row r="22" spans="1:4" ht="17.25" x14ac:dyDescent="0.2">
      <c r="A22" s="533">
        <v>46082</v>
      </c>
      <c r="B22" s="534">
        <v>3721244.1559525798</v>
      </c>
      <c r="C22" s="534">
        <v>1246101.7733333299</v>
      </c>
    </row>
    <row r="23" spans="1:4" ht="17.25" x14ac:dyDescent="0.2">
      <c r="A23" s="533">
        <v>46113</v>
      </c>
      <c r="B23" s="534">
        <v>5581866.2339288704</v>
      </c>
      <c r="C23" s="534">
        <v>2900409.3</v>
      </c>
    </row>
    <row r="24" spans="1:4" ht="17.25" x14ac:dyDescent="0.2">
      <c r="A24" s="533">
        <v>46143</v>
      </c>
      <c r="B24" s="534">
        <v>5953990.6495241299</v>
      </c>
      <c r="C24" s="534">
        <v>2739275.45</v>
      </c>
    </row>
    <row r="25" spans="1:4" ht="17.25" x14ac:dyDescent="0.2">
      <c r="A25" s="533">
        <v>46174</v>
      </c>
      <c r="B25" s="534">
        <v>6698239.4807146396</v>
      </c>
      <c r="C25" s="534">
        <v>3061543.15</v>
      </c>
    </row>
    <row r="26" spans="1:4" ht="17.25" x14ac:dyDescent="0.2">
      <c r="A26" s="533">
        <v>46204</v>
      </c>
      <c r="B26" s="534">
        <v>6698239.4807146396</v>
      </c>
      <c r="C26" s="534">
        <v>3222677</v>
      </c>
    </row>
    <row r="27" spans="1:4" ht="17.25" x14ac:dyDescent="0.2">
      <c r="A27" s="533">
        <v>46235</v>
      </c>
      <c r="B27" s="534">
        <v>7070363.8963099001</v>
      </c>
      <c r="C27" s="534">
        <v>3222677</v>
      </c>
    </row>
    <row r="28" spans="1:4" ht="17.25" x14ac:dyDescent="0.2">
      <c r="A28" s="533">
        <v>46266</v>
      </c>
      <c r="B28" s="534">
        <v>7070363.8963099001</v>
      </c>
      <c r="C28" s="534">
        <v>3222677</v>
      </c>
    </row>
    <row r="29" spans="1:4" ht="17.25" x14ac:dyDescent="0.2">
      <c r="A29" s="533">
        <v>46296</v>
      </c>
      <c r="B29" s="534">
        <v>6698239.4807146396</v>
      </c>
      <c r="C29" s="534">
        <v>3598655.9833333301</v>
      </c>
    </row>
    <row r="30" spans="1:4" ht="17.25" x14ac:dyDescent="0.2">
      <c r="A30" s="533">
        <v>46327</v>
      </c>
      <c r="B30" s="534">
        <v>10047359.221072</v>
      </c>
      <c r="C30" s="534">
        <v>4565459.0833333302</v>
      </c>
    </row>
    <row r="31" spans="1:4" ht="17.25" x14ac:dyDescent="0.2">
      <c r="A31" s="533">
        <v>46357</v>
      </c>
      <c r="B31" s="534">
        <v>8558861.5586909391</v>
      </c>
      <c r="C31" s="534">
        <v>3201192.4866666701</v>
      </c>
    </row>
    <row r="32" spans="1:4" ht="21" x14ac:dyDescent="0.2">
      <c r="A32" s="535" t="s">
        <v>302</v>
      </c>
      <c r="B32" s="536">
        <f>SUM(B20:B31)</f>
        <v>74424883.11905162</v>
      </c>
      <c r="C32" s="536">
        <f>SUM(C20:C31)</f>
        <v>32226770</v>
      </c>
    </row>
    <row r="35" spans="1:3" ht="24.75" x14ac:dyDescent="0.2">
      <c r="A35" s="532" t="s">
        <v>99</v>
      </c>
      <c r="B35" s="488"/>
    </row>
    <row r="36" spans="1:3" ht="18" x14ac:dyDescent="0.2">
      <c r="A36" s="489" t="s">
        <v>399</v>
      </c>
      <c r="B36" s="490" t="s">
        <v>403</v>
      </c>
      <c r="C36" s="490" t="s">
        <v>404</v>
      </c>
    </row>
    <row r="37" spans="1:3" ht="17.25" x14ac:dyDescent="0.2">
      <c r="A37" s="533">
        <v>46023</v>
      </c>
      <c r="B37" s="534">
        <v>21092500</v>
      </c>
      <c r="C37" s="534">
        <v>2048000</v>
      </c>
    </row>
    <row r="38" spans="1:3" ht="17.25" x14ac:dyDescent="0.2">
      <c r="A38" s="533">
        <v>46054</v>
      </c>
      <c r="B38" s="534">
        <v>13422500</v>
      </c>
      <c r="C38" s="534">
        <v>1664000</v>
      </c>
    </row>
    <row r="39" spans="1:3" ht="17.25" x14ac:dyDescent="0.2">
      <c r="A39" s="533">
        <v>46082</v>
      </c>
      <c r="B39" s="534">
        <v>19175000</v>
      </c>
      <c r="C39" s="534">
        <v>3712000</v>
      </c>
    </row>
    <row r="40" spans="1:3" ht="17.25" x14ac:dyDescent="0.2">
      <c r="A40" s="533">
        <v>46113</v>
      </c>
      <c r="B40" s="534">
        <v>30680000</v>
      </c>
      <c r="C40" s="534">
        <v>8640000</v>
      </c>
    </row>
    <row r="41" spans="1:3" ht="17.25" x14ac:dyDescent="0.2">
      <c r="A41" s="533">
        <v>46143</v>
      </c>
      <c r="B41" s="534">
        <v>32597500</v>
      </c>
      <c r="C41" s="534">
        <v>8160000</v>
      </c>
    </row>
    <row r="42" spans="1:3" ht="17.25" x14ac:dyDescent="0.2">
      <c r="A42" s="533">
        <v>46174</v>
      </c>
      <c r="B42" s="534">
        <v>36432500</v>
      </c>
      <c r="C42" s="534">
        <v>9120000</v>
      </c>
    </row>
    <row r="43" spans="1:3" ht="17.25" x14ac:dyDescent="0.2">
      <c r="A43" s="533">
        <v>46204</v>
      </c>
      <c r="B43" s="534">
        <v>34515000</v>
      </c>
      <c r="C43" s="534">
        <v>9600000</v>
      </c>
    </row>
    <row r="44" spans="1:3" ht="17.25" x14ac:dyDescent="0.2">
      <c r="A44" s="533">
        <v>46235</v>
      </c>
      <c r="B44" s="534">
        <v>36432500</v>
      </c>
      <c r="C44" s="534">
        <v>9600000</v>
      </c>
    </row>
    <row r="45" spans="1:3" ht="17.25" x14ac:dyDescent="0.2">
      <c r="A45" s="533">
        <v>46266</v>
      </c>
      <c r="B45" s="534">
        <v>36432500</v>
      </c>
      <c r="C45" s="534">
        <v>9600000</v>
      </c>
    </row>
    <row r="46" spans="1:3" ht="17.25" x14ac:dyDescent="0.2">
      <c r="A46" s="533">
        <v>46296</v>
      </c>
      <c r="B46" s="534">
        <v>32597500</v>
      </c>
      <c r="C46" s="534">
        <v>10720000</v>
      </c>
    </row>
    <row r="47" spans="1:3" ht="17.25" x14ac:dyDescent="0.2">
      <c r="A47" s="533">
        <v>46327</v>
      </c>
      <c r="B47" s="534">
        <v>49855000</v>
      </c>
      <c r="C47" s="534">
        <v>13600000</v>
      </c>
    </row>
    <row r="48" spans="1:3" ht="17.25" x14ac:dyDescent="0.2">
      <c r="A48" s="533">
        <v>46357</v>
      </c>
      <c r="B48" s="534">
        <v>40267500</v>
      </c>
      <c r="C48" s="534">
        <v>9536000</v>
      </c>
    </row>
    <row r="49" spans="1:3" ht="21" x14ac:dyDescent="0.2">
      <c r="A49" s="535" t="s">
        <v>302</v>
      </c>
      <c r="B49" s="536">
        <f>SUM(B37:B48)</f>
        <v>383500000</v>
      </c>
      <c r="C49" s="536">
        <f>SUM(C37:C48)</f>
        <v>96000000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C547-BFB5-4D48-AF19-CA79F00118BE}">
  <sheetPr>
    <tabColor theme="0" tint="-0.34998626667073579"/>
  </sheetPr>
  <dimension ref="A3:AQ63"/>
  <sheetViews>
    <sheetView showZeros="0" topLeftCell="S1" workbookViewId="0">
      <selection activeCell="Y5" sqref="Y5:AQ10"/>
    </sheetView>
  </sheetViews>
  <sheetFormatPr defaultRowHeight="14.25" x14ac:dyDescent="0.2"/>
  <cols>
    <col min="3" max="3" width="9.375" bestFit="1" customWidth="1"/>
    <col min="15" max="15" width="10.125" bestFit="1" customWidth="1"/>
  </cols>
  <sheetData>
    <row r="3" spans="1:43" s="386" customFormat="1" ht="29.25" x14ac:dyDescent="0.2">
      <c r="B3" s="419" t="s">
        <v>414</v>
      </c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X3" s="419" t="s">
        <v>407</v>
      </c>
      <c r="Y3" s="381"/>
      <c r="Z3" s="380"/>
      <c r="AA3" s="380"/>
      <c r="AB3" s="380"/>
      <c r="AC3" s="380"/>
      <c r="AD3" s="380"/>
      <c r="AE3" s="381"/>
      <c r="AF3" s="381"/>
      <c r="AG3" s="380"/>
      <c r="AH3" s="380"/>
      <c r="AI3" s="380"/>
      <c r="AJ3" s="324"/>
      <c r="AK3" s="420"/>
      <c r="AL3" s="380"/>
      <c r="AM3" s="380"/>
      <c r="AN3" s="380"/>
      <c r="AO3" s="380"/>
      <c r="AP3" s="380"/>
      <c r="AQ3" s="380"/>
    </row>
    <row r="4" spans="1:43" s="1" customFormat="1" ht="16.5" x14ac:dyDescent="0.2">
      <c r="B4" s="403" t="s">
        <v>276</v>
      </c>
      <c r="C4" s="94" t="s">
        <v>92</v>
      </c>
      <c r="D4" s="94" t="s">
        <v>93</v>
      </c>
      <c r="E4" s="94" t="s">
        <v>61</v>
      </c>
      <c r="F4" s="94" t="s">
        <v>62</v>
      </c>
      <c r="G4" s="94" t="s">
        <v>63</v>
      </c>
      <c r="H4" s="94" t="s">
        <v>64</v>
      </c>
      <c r="I4" s="94" t="s">
        <v>65</v>
      </c>
      <c r="J4" s="94" t="s">
        <v>66</v>
      </c>
      <c r="K4" s="94" t="s">
        <v>67</v>
      </c>
      <c r="L4" s="94" t="s">
        <v>68</v>
      </c>
      <c r="M4" s="94" t="s">
        <v>69</v>
      </c>
      <c r="N4" s="94" t="s">
        <v>94</v>
      </c>
      <c r="O4" s="95" t="s">
        <v>277</v>
      </c>
      <c r="P4" s="404" t="s">
        <v>408</v>
      </c>
      <c r="Q4" s="95" t="s">
        <v>409</v>
      </c>
      <c r="R4" s="404" t="s">
        <v>333</v>
      </c>
      <c r="S4" s="94" t="s">
        <v>410</v>
      </c>
      <c r="T4" s="94" t="s">
        <v>411</v>
      </c>
      <c r="U4" s="405" t="s">
        <v>412</v>
      </c>
      <c r="X4" s="90" t="s">
        <v>325</v>
      </c>
      <c r="Y4" s="91" t="s">
        <v>92</v>
      </c>
      <c r="Z4" s="91" t="s">
        <v>93</v>
      </c>
      <c r="AA4" s="91" t="s">
        <v>61</v>
      </c>
      <c r="AB4" s="91" t="s">
        <v>62</v>
      </c>
      <c r="AC4" s="91" t="s">
        <v>63</v>
      </c>
      <c r="AD4" s="91" t="s">
        <v>64</v>
      </c>
      <c r="AE4" s="91" t="s">
        <v>65</v>
      </c>
      <c r="AF4" s="91" t="s">
        <v>66</v>
      </c>
      <c r="AG4" s="91" t="s">
        <v>67</v>
      </c>
      <c r="AH4" s="91" t="s">
        <v>68</v>
      </c>
      <c r="AI4" s="91" t="s">
        <v>69</v>
      </c>
      <c r="AJ4" s="91" t="s">
        <v>94</v>
      </c>
      <c r="AK4" s="92" t="s">
        <v>277</v>
      </c>
      <c r="AL4" s="285" t="s">
        <v>408</v>
      </c>
      <c r="AM4" s="92" t="s">
        <v>409</v>
      </c>
      <c r="AN4" s="285" t="s">
        <v>333</v>
      </c>
      <c r="AO4" s="91" t="s">
        <v>410</v>
      </c>
      <c r="AP4" s="91" t="s">
        <v>411</v>
      </c>
      <c r="AQ4" s="287" t="s">
        <v>412</v>
      </c>
    </row>
    <row r="5" spans="1:43" s="388" customFormat="1" ht="15" x14ac:dyDescent="0.2">
      <c r="B5" s="342" t="s">
        <v>326</v>
      </c>
      <c r="C5" s="351">
        <v>110222402.18999992</v>
      </c>
      <c r="D5" s="351">
        <v>83609413.390000388</v>
      </c>
      <c r="E5" s="351">
        <v>86799136.91000025</v>
      </c>
      <c r="F5" s="351">
        <v>86919720.890000284</v>
      </c>
      <c r="G5" s="351">
        <v>85535277.200000405</v>
      </c>
      <c r="H5" s="351">
        <v>80433400.560000464</v>
      </c>
      <c r="I5" s="351">
        <v>82719753.860000387</v>
      </c>
      <c r="J5" s="351">
        <v>76924778.290000454</v>
      </c>
      <c r="K5" s="351">
        <v>85138540.930000454</v>
      </c>
      <c r="L5" s="351">
        <v>92473955.380000398</v>
      </c>
      <c r="M5" s="351">
        <v>91194584.450000316</v>
      </c>
      <c r="N5" s="351">
        <v>84507816.399999991</v>
      </c>
      <c r="O5" s="352">
        <v>1046478780.4500036</v>
      </c>
      <c r="P5" s="353">
        <v>533519351.14000171</v>
      </c>
      <c r="Q5" s="352">
        <v>512959429.31000197</v>
      </c>
      <c r="R5" s="353">
        <v>280630952.49000055</v>
      </c>
      <c r="S5" s="351">
        <v>252888398.65000117</v>
      </c>
      <c r="T5" s="351">
        <v>244783073.08000129</v>
      </c>
      <c r="U5" s="354">
        <v>268176356.23000067</v>
      </c>
      <c r="V5" s="389"/>
      <c r="W5" s="372"/>
      <c r="X5" s="342" t="s">
        <v>326</v>
      </c>
      <c r="Y5" s="351">
        <v>26183689.379999995</v>
      </c>
      <c r="Z5" s="351">
        <v>18907275.77</v>
      </c>
      <c r="AA5" s="351">
        <v>21181039.092830185</v>
      </c>
      <c r="AB5" s="351">
        <v>20419942.996792451</v>
      </c>
      <c r="AC5" s="351">
        <v>19028404.050566036</v>
      </c>
      <c r="AD5" s="351">
        <v>19346421.219245281</v>
      </c>
      <c r="AE5" s="351">
        <v>18855792.086226411</v>
      </c>
      <c r="AF5" s="351">
        <v>17898504.081320755</v>
      </c>
      <c r="AG5" s="351">
        <v>18162052.84566037</v>
      </c>
      <c r="AH5" s="351">
        <v>17715842.924528297</v>
      </c>
      <c r="AI5" s="351">
        <v>21853010.981132079</v>
      </c>
      <c r="AJ5" s="351">
        <v>22971147.858490568</v>
      </c>
      <c r="AK5" s="352">
        <v>242523123.28679243</v>
      </c>
      <c r="AL5" s="353">
        <v>125066772.50943394</v>
      </c>
      <c r="AM5" s="352">
        <v>117456350.77735849</v>
      </c>
      <c r="AN5" s="353">
        <v>66272004.242830172</v>
      </c>
      <c r="AO5" s="351">
        <v>58794768.266603768</v>
      </c>
      <c r="AP5" s="351">
        <v>54916349.01320754</v>
      </c>
      <c r="AQ5" s="354">
        <v>62540001.764150947</v>
      </c>
    </row>
    <row r="6" spans="1:43" s="1" customFormat="1" ht="75" x14ac:dyDescent="0.2">
      <c r="A6" s="370" t="s">
        <v>413</v>
      </c>
      <c r="B6" s="320" t="s">
        <v>327</v>
      </c>
      <c r="C6" s="347">
        <v>93066095.129999995</v>
      </c>
      <c r="D6" s="347">
        <v>68875966.650000006</v>
      </c>
      <c r="E6" s="347">
        <v>72664093.980000004</v>
      </c>
      <c r="F6" s="347">
        <v>71559511.599999994</v>
      </c>
      <c r="G6" s="347">
        <v>73159841.680000007</v>
      </c>
      <c r="H6" s="347">
        <v>66716190.480000004</v>
      </c>
      <c r="I6" s="347">
        <v>67862809.829999998</v>
      </c>
      <c r="J6" s="347">
        <v>62344970.230000004</v>
      </c>
      <c r="K6" s="347">
        <v>65620600.760000005</v>
      </c>
      <c r="L6" s="347">
        <v>67768060.359999999</v>
      </c>
      <c r="M6" s="347">
        <v>68448763.140000001</v>
      </c>
      <c r="N6" s="347">
        <v>67923618.549999997</v>
      </c>
      <c r="O6" s="348">
        <v>846010522.38999999</v>
      </c>
      <c r="P6" s="349">
        <v>446041699.52000004</v>
      </c>
      <c r="Q6" s="348">
        <v>399968822.87</v>
      </c>
      <c r="R6" s="349">
        <v>234606155.75999999</v>
      </c>
      <c r="S6" s="347">
        <v>211435543.75999999</v>
      </c>
      <c r="T6" s="347">
        <v>195828380.81999999</v>
      </c>
      <c r="U6" s="350">
        <v>204140442.05000001</v>
      </c>
      <c r="W6" s="370" t="s">
        <v>413</v>
      </c>
      <c r="X6" s="320" t="s">
        <v>327</v>
      </c>
      <c r="Y6" s="347">
        <v>23060800.899999999</v>
      </c>
      <c r="Z6" s="347">
        <v>16413199.239999998</v>
      </c>
      <c r="AA6" s="347">
        <v>18356697.632830188</v>
      </c>
      <c r="AB6" s="347">
        <v>17233521.416792452</v>
      </c>
      <c r="AC6" s="347">
        <v>16710973.850566039</v>
      </c>
      <c r="AD6" s="347">
        <v>16492398.259245282</v>
      </c>
      <c r="AE6" s="347">
        <v>16251029.336226413</v>
      </c>
      <c r="AF6" s="347">
        <v>15186116.151320755</v>
      </c>
      <c r="AG6" s="347">
        <v>15548110.205660377</v>
      </c>
      <c r="AH6" s="347">
        <v>14978563.204528302</v>
      </c>
      <c r="AI6" s="347">
        <v>17678212.301132075</v>
      </c>
      <c r="AJ6" s="347">
        <v>19991942.128490567</v>
      </c>
      <c r="AK6" s="348">
        <v>207901564.62679246</v>
      </c>
      <c r="AL6" s="349">
        <v>108267591.29943396</v>
      </c>
      <c r="AM6" s="348">
        <v>99633973.327358484</v>
      </c>
      <c r="AN6" s="349">
        <v>57830697.772830188</v>
      </c>
      <c r="AO6" s="347">
        <v>50436893.526603773</v>
      </c>
      <c r="AP6" s="347">
        <v>46985255.693207547</v>
      </c>
      <c r="AQ6" s="350">
        <v>52648717.634150945</v>
      </c>
    </row>
    <row r="7" spans="1:43" s="1" customFormat="1" ht="30" x14ac:dyDescent="0.2">
      <c r="A7" s="370" t="s">
        <v>413</v>
      </c>
      <c r="B7" s="321" t="s">
        <v>328</v>
      </c>
      <c r="C7" s="338">
        <v>11875837.4</v>
      </c>
      <c r="D7" s="338">
        <v>9505244.5999999996</v>
      </c>
      <c r="E7" s="338">
        <v>8448582.2000000011</v>
      </c>
      <c r="F7" s="338">
        <v>10411125</v>
      </c>
      <c r="G7" s="338">
        <v>7751860</v>
      </c>
      <c r="H7" s="338">
        <v>8753480.5999999996</v>
      </c>
      <c r="I7" s="338">
        <v>9067021.2000000011</v>
      </c>
      <c r="J7" s="338">
        <v>7495744.7999999998</v>
      </c>
      <c r="K7" s="338">
        <v>13999987.799999999</v>
      </c>
      <c r="L7" s="338">
        <v>18029060</v>
      </c>
      <c r="M7" s="338">
        <v>16780506.699999999</v>
      </c>
      <c r="N7" s="338">
        <v>8632591.5</v>
      </c>
      <c r="O7" s="339">
        <v>130751041.80000001</v>
      </c>
      <c r="P7" s="340">
        <v>56746129.800000004</v>
      </c>
      <c r="Q7" s="339">
        <v>74004912</v>
      </c>
      <c r="R7" s="340">
        <v>29829664.200000003</v>
      </c>
      <c r="S7" s="338">
        <v>26916465.600000001</v>
      </c>
      <c r="T7" s="338">
        <v>30562753.799999997</v>
      </c>
      <c r="U7" s="341">
        <v>43442158.200000003</v>
      </c>
      <c r="W7" s="370" t="s">
        <v>413</v>
      </c>
      <c r="X7" s="321" t="s">
        <v>328</v>
      </c>
      <c r="Y7" s="338">
        <v>2549751.2000000002</v>
      </c>
      <c r="Z7" s="338">
        <v>1880081.8</v>
      </c>
      <c r="AA7" s="338">
        <v>2130051.1999999997</v>
      </c>
      <c r="AB7" s="338">
        <v>2615080.4</v>
      </c>
      <c r="AC7" s="338">
        <v>1752152.4000000001</v>
      </c>
      <c r="AD7" s="338">
        <v>2225886</v>
      </c>
      <c r="AE7" s="338">
        <v>1876419.1</v>
      </c>
      <c r="AF7" s="338">
        <v>1908652.7</v>
      </c>
      <c r="AG7" s="338">
        <v>2008057.5999999999</v>
      </c>
      <c r="AH7" s="338">
        <v>1945294.6</v>
      </c>
      <c r="AI7" s="338">
        <v>3494718</v>
      </c>
      <c r="AJ7" s="338">
        <v>2180017.1</v>
      </c>
      <c r="AK7" s="339">
        <v>26566162.100000005</v>
      </c>
      <c r="AL7" s="340">
        <v>13153003</v>
      </c>
      <c r="AM7" s="339">
        <v>13413159.1</v>
      </c>
      <c r="AN7" s="340">
        <v>6559884.1999999993</v>
      </c>
      <c r="AO7" s="338">
        <v>6593118.7999999998</v>
      </c>
      <c r="AP7" s="338">
        <v>5793129.3999999994</v>
      </c>
      <c r="AQ7" s="341">
        <v>7620029.6999999993</v>
      </c>
    </row>
    <row r="8" spans="1:43" s="1" customFormat="1" ht="16.5" x14ac:dyDescent="0.2">
      <c r="A8" s="370" t="s">
        <v>413</v>
      </c>
      <c r="B8" s="343" t="s">
        <v>285</v>
      </c>
      <c r="C8" s="302">
        <v>5280469.6599999201</v>
      </c>
      <c r="D8" s="302">
        <v>5228202.1400003899</v>
      </c>
      <c r="E8" s="302">
        <v>5686460.73000025</v>
      </c>
      <c r="F8" s="302">
        <v>4949084.2900002804</v>
      </c>
      <c r="G8" s="302">
        <v>4623575.5200004093</v>
      </c>
      <c r="H8" s="302">
        <v>4963729.4800004596</v>
      </c>
      <c r="I8" s="302">
        <v>5789922.8300003801</v>
      </c>
      <c r="J8" s="302">
        <v>7084063.2600004496</v>
      </c>
      <c r="K8" s="302">
        <v>5517952.3700004602</v>
      </c>
      <c r="L8" s="302">
        <v>6676835.0200004</v>
      </c>
      <c r="M8" s="302">
        <v>5965314.6100003198</v>
      </c>
      <c r="N8" s="302">
        <v>7951606.3499999996</v>
      </c>
      <c r="O8" s="344">
        <v>69717216.260003716</v>
      </c>
      <c r="P8" s="345">
        <v>30731521.82000171</v>
      </c>
      <c r="Q8" s="344">
        <v>38985694.440002009</v>
      </c>
      <c r="R8" s="345">
        <v>16195132.53000056</v>
      </c>
      <c r="S8" s="302">
        <v>14536389.29000115</v>
      </c>
      <c r="T8" s="302">
        <v>18391938.46000129</v>
      </c>
      <c r="U8" s="346">
        <v>20593755.980000719</v>
      </c>
      <c r="W8" s="370" t="s">
        <v>413</v>
      </c>
      <c r="X8" s="343" t="s">
        <v>285</v>
      </c>
      <c r="Y8" s="302">
        <v>573137.28</v>
      </c>
      <c r="Z8" s="302">
        <v>613994.72999999905</v>
      </c>
      <c r="AA8" s="302">
        <v>694290.25999999605</v>
      </c>
      <c r="AB8" s="302">
        <v>571341.17999999807</v>
      </c>
      <c r="AC8" s="302">
        <v>565277.799999999</v>
      </c>
      <c r="AD8" s="302">
        <v>628136.95999999903</v>
      </c>
      <c r="AE8" s="302">
        <v>728343.64999999595</v>
      </c>
      <c r="AF8" s="302">
        <v>803735.22999999893</v>
      </c>
      <c r="AG8" s="302">
        <v>605885.03999999398</v>
      </c>
      <c r="AH8" s="302">
        <v>791985.11999999697</v>
      </c>
      <c r="AI8" s="302">
        <v>680080.68000000203</v>
      </c>
      <c r="AJ8" s="302">
        <v>799188.63</v>
      </c>
      <c r="AK8" s="344">
        <v>8055396.5599999791</v>
      </c>
      <c r="AL8" s="345">
        <v>3646178.2099999911</v>
      </c>
      <c r="AM8" s="344">
        <v>4409218.3499999875</v>
      </c>
      <c r="AN8" s="345">
        <v>1881422.2699999951</v>
      </c>
      <c r="AO8" s="302">
        <v>1764755.9399999962</v>
      </c>
      <c r="AP8" s="302">
        <v>2137963.9199999887</v>
      </c>
      <c r="AQ8" s="346">
        <v>2271254.4299999988</v>
      </c>
    </row>
    <row r="9" spans="1:43" s="74" customFormat="1" ht="75" x14ac:dyDescent="0.2">
      <c r="B9" s="320" t="s">
        <v>394</v>
      </c>
      <c r="C9" s="458">
        <v>91060795.599999994</v>
      </c>
      <c r="D9" s="458">
        <v>71242893.299999997</v>
      </c>
      <c r="E9" s="458">
        <v>72887479.299999997</v>
      </c>
      <c r="F9" s="458">
        <v>72173433</v>
      </c>
      <c r="G9" s="458">
        <v>69886465.700000003</v>
      </c>
      <c r="H9" s="458">
        <v>65714354.899999999</v>
      </c>
      <c r="I9" s="458">
        <v>68868779.900000006</v>
      </c>
      <c r="J9" s="458">
        <v>65116613.600000001</v>
      </c>
      <c r="K9" s="458">
        <v>71528972</v>
      </c>
      <c r="L9" s="458">
        <v>79916867.200000003</v>
      </c>
      <c r="M9" s="458">
        <v>73733515.700000003</v>
      </c>
      <c r="N9" s="458">
        <v>68166470.5</v>
      </c>
      <c r="O9" s="459">
        <v>870296640.70000005</v>
      </c>
      <c r="P9" s="460">
        <v>442965421.79999995</v>
      </c>
      <c r="Q9" s="459">
        <v>427331218.89999998</v>
      </c>
      <c r="R9" s="460">
        <v>235191168.19999999</v>
      </c>
      <c r="S9" s="458">
        <v>207774253.59999999</v>
      </c>
      <c r="T9" s="458">
        <v>205514365.5</v>
      </c>
      <c r="U9" s="461">
        <v>221816853.40000001</v>
      </c>
      <c r="X9" s="320" t="s">
        <v>394</v>
      </c>
      <c r="Y9" s="458">
        <v>23141348.399999999</v>
      </c>
      <c r="Z9" s="458">
        <v>16740906.5</v>
      </c>
      <c r="AA9" s="458">
        <v>18651063.452830188</v>
      </c>
      <c r="AB9" s="458">
        <v>18127099.886792451</v>
      </c>
      <c r="AC9" s="458">
        <v>17050641.590566039</v>
      </c>
      <c r="AD9" s="458">
        <v>17242450.979245283</v>
      </c>
      <c r="AE9" s="458">
        <v>17060421.996226415</v>
      </c>
      <c r="AF9" s="458">
        <v>16235447.161320755</v>
      </c>
      <c r="AG9" s="458">
        <v>16150201.905660378</v>
      </c>
      <c r="AH9" s="458">
        <v>15755886.724528303</v>
      </c>
      <c r="AI9" s="458">
        <v>19418912.281132076</v>
      </c>
      <c r="AJ9" s="458">
        <v>18386453.058490567</v>
      </c>
      <c r="AK9" s="459">
        <v>213960833.93679249</v>
      </c>
      <c r="AL9" s="460">
        <v>110953510.80943397</v>
      </c>
      <c r="AM9" s="459">
        <v>103007323.1273585</v>
      </c>
      <c r="AN9" s="460">
        <v>58533318.352830186</v>
      </c>
      <c r="AO9" s="458">
        <v>52420192.456603773</v>
      </c>
      <c r="AP9" s="458">
        <v>49446071.063207544</v>
      </c>
      <c r="AQ9" s="461">
        <v>53561252.064150944</v>
      </c>
    </row>
    <row r="10" spans="1:43" s="74" customFormat="1" ht="45" x14ac:dyDescent="0.2">
      <c r="B10" s="343" t="s">
        <v>396</v>
      </c>
      <c r="C10" s="302">
        <v>16752497.199999999</v>
      </c>
      <c r="D10" s="302">
        <v>10504729.699999999</v>
      </c>
      <c r="E10" s="302">
        <v>11604644.5</v>
      </c>
      <c r="F10" s="302">
        <v>12473110.699999999</v>
      </c>
      <c r="G10" s="302">
        <v>13588685</v>
      </c>
      <c r="H10" s="302">
        <v>12776572.300000001</v>
      </c>
      <c r="I10" s="302">
        <v>11834622.1</v>
      </c>
      <c r="J10" s="302">
        <v>9796971.8000000007</v>
      </c>
      <c r="K10" s="302">
        <v>11622004.6</v>
      </c>
      <c r="L10" s="302">
        <v>10625908.6</v>
      </c>
      <c r="M10" s="302">
        <v>15294616.300000001</v>
      </c>
      <c r="N10" s="302">
        <v>14523049.9</v>
      </c>
      <c r="O10" s="462">
        <v>151397412.69999999</v>
      </c>
      <c r="P10" s="463">
        <v>77700239.399999991</v>
      </c>
      <c r="Q10" s="462">
        <v>73697173.300000012</v>
      </c>
      <c r="R10" s="463">
        <v>38861871.399999999</v>
      </c>
      <c r="S10" s="464">
        <v>38838368</v>
      </c>
      <c r="T10" s="464">
        <v>33253598.5</v>
      </c>
      <c r="U10" s="465">
        <v>40443574.799999997</v>
      </c>
      <c r="X10" s="343" t="s">
        <v>396</v>
      </c>
      <c r="Y10" s="302">
        <v>2769275.6</v>
      </c>
      <c r="Z10" s="302">
        <v>1936495.7</v>
      </c>
      <c r="AA10" s="302">
        <v>2247014.9</v>
      </c>
      <c r="AB10" s="302">
        <v>2050038.4</v>
      </c>
      <c r="AC10" s="302">
        <v>1739691.9</v>
      </c>
      <c r="AD10" s="302">
        <v>1876888.2</v>
      </c>
      <c r="AE10" s="302">
        <v>1558920</v>
      </c>
      <c r="AF10" s="302">
        <v>1430264.5</v>
      </c>
      <c r="AG10" s="302">
        <v>1787154.4</v>
      </c>
      <c r="AH10" s="302">
        <v>1736339.4</v>
      </c>
      <c r="AI10" s="302">
        <v>2199376.9</v>
      </c>
      <c r="AJ10" s="302">
        <v>4376535.8</v>
      </c>
      <c r="AK10" s="462">
        <v>25707995.699999996</v>
      </c>
      <c r="AL10" s="463">
        <v>12619404.699999999</v>
      </c>
      <c r="AM10" s="462">
        <v>13088591</v>
      </c>
      <c r="AN10" s="463">
        <v>6952786.1999999993</v>
      </c>
      <c r="AO10" s="464">
        <v>5666618.5</v>
      </c>
      <c r="AP10" s="464">
        <v>4776338.9000000004</v>
      </c>
      <c r="AQ10" s="465">
        <v>8312252.0999999996</v>
      </c>
    </row>
    <row r="11" spans="1:43" x14ac:dyDescent="0.2">
      <c r="AJ11" s="61"/>
    </row>
    <row r="15" spans="1:43" s="386" customFormat="1" ht="29.25" x14ac:dyDescent="0.2">
      <c r="B15" s="419" t="s">
        <v>415</v>
      </c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  <c r="X15" s="419" t="s">
        <v>416</v>
      </c>
      <c r="Y15" s="381"/>
      <c r="Z15" s="380"/>
      <c r="AA15" s="380"/>
      <c r="AB15" s="380"/>
      <c r="AC15" s="380"/>
      <c r="AD15" s="380"/>
      <c r="AE15" s="381"/>
      <c r="AF15" s="381"/>
      <c r="AG15" s="380"/>
      <c r="AH15" s="380"/>
      <c r="AI15" s="380"/>
      <c r="AJ15" s="324"/>
      <c r="AK15" s="420"/>
      <c r="AL15" s="380"/>
      <c r="AM15" s="380"/>
      <c r="AN15" s="380"/>
      <c r="AO15" s="380"/>
      <c r="AP15" s="380"/>
      <c r="AQ15" s="380"/>
    </row>
    <row r="16" spans="1:43" s="1" customFormat="1" ht="16.5" x14ac:dyDescent="0.2">
      <c r="B16" s="403" t="s">
        <v>276</v>
      </c>
      <c r="C16" s="94" t="s">
        <v>92</v>
      </c>
      <c r="D16" s="94" t="s">
        <v>93</v>
      </c>
      <c r="E16" s="94" t="s">
        <v>61</v>
      </c>
      <c r="F16" s="94" t="s">
        <v>62</v>
      </c>
      <c r="G16" s="94" t="s">
        <v>63</v>
      </c>
      <c r="H16" s="94" t="s">
        <v>64</v>
      </c>
      <c r="I16" s="94" t="s">
        <v>65</v>
      </c>
      <c r="J16" s="94" t="s">
        <v>66</v>
      </c>
      <c r="K16" s="94" t="s">
        <v>67</v>
      </c>
      <c r="L16" s="94" t="s">
        <v>68</v>
      </c>
      <c r="M16" s="94" t="s">
        <v>69</v>
      </c>
      <c r="N16" s="94" t="s">
        <v>94</v>
      </c>
      <c r="O16" s="95" t="s">
        <v>277</v>
      </c>
      <c r="P16" s="404" t="s">
        <v>408</v>
      </c>
      <c r="Q16" s="95" t="s">
        <v>409</v>
      </c>
      <c r="R16" s="404" t="s">
        <v>333</v>
      </c>
      <c r="S16" s="94" t="s">
        <v>410</v>
      </c>
      <c r="T16" s="94" t="s">
        <v>411</v>
      </c>
      <c r="U16" s="405" t="s">
        <v>412</v>
      </c>
      <c r="X16" s="90" t="s">
        <v>325</v>
      </c>
      <c r="Y16" s="91" t="s">
        <v>92</v>
      </c>
      <c r="Z16" s="91" t="s">
        <v>93</v>
      </c>
      <c r="AA16" s="91" t="s">
        <v>61</v>
      </c>
      <c r="AB16" s="91" t="s">
        <v>62</v>
      </c>
      <c r="AC16" s="91" t="s">
        <v>63</v>
      </c>
      <c r="AD16" s="91" t="s">
        <v>64</v>
      </c>
      <c r="AE16" s="91" t="s">
        <v>65</v>
      </c>
      <c r="AF16" s="91" t="s">
        <v>66</v>
      </c>
      <c r="AG16" s="91" t="s">
        <v>67</v>
      </c>
      <c r="AH16" s="91" t="s">
        <v>68</v>
      </c>
      <c r="AI16" s="91" t="s">
        <v>69</v>
      </c>
      <c r="AJ16" s="91" t="s">
        <v>94</v>
      </c>
      <c r="AK16" s="92" t="s">
        <v>277</v>
      </c>
      <c r="AL16" s="285" t="s">
        <v>408</v>
      </c>
      <c r="AM16" s="92" t="s">
        <v>409</v>
      </c>
      <c r="AN16" s="285" t="s">
        <v>333</v>
      </c>
      <c r="AO16" s="91" t="s">
        <v>410</v>
      </c>
      <c r="AP16" s="91" t="s">
        <v>411</v>
      </c>
      <c r="AQ16" s="287" t="s">
        <v>412</v>
      </c>
    </row>
    <row r="17" spans="1:43" s="388" customFormat="1" ht="15" x14ac:dyDescent="0.2">
      <c r="B17" s="342" t="s">
        <v>326</v>
      </c>
      <c r="C17" s="351">
        <v>99061446.350911185</v>
      </c>
      <c r="D17" s="351">
        <v>71731575.67879197</v>
      </c>
      <c r="E17" s="351">
        <v>79220420.388612419</v>
      </c>
      <c r="F17" s="351">
        <v>81951907.515910432</v>
      </c>
      <c r="G17" s="351">
        <v>78847803.693944991</v>
      </c>
      <c r="H17" s="351">
        <v>75920356.081958622</v>
      </c>
      <c r="I17" s="351">
        <v>77009398.031348377</v>
      </c>
      <c r="J17" s="351">
        <v>73330394.769742459</v>
      </c>
      <c r="K17" s="351">
        <v>74938091.509468511</v>
      </c>
      <c r="L17" s="351">
        <v>77288871.132085502</v>
      </c>
      <c r="M17" s="351">
        <v>83121007.253965974</v>
      </c>
      <c r="N17" s="351">
        <v>79375529.206313863</v>
      </c>
      <c r="O17" s="352">
        <v>951796801.61305463</v>
      </c>
      <c r="P17" s="353">
        <v>486733509.71012962</v>
      </c>
      <c r="Q17" s="352">
        <v>465063291.90292466</v>
      </c>
      <c r="R17" s="353">
        <v>250013442.41831556</v>
      </c>
      <c r="S17" s="351">
        <v>236720067.29181406</v>
      </c>
      <c r="T17" s="351">
        <v>225277884.31055933</v>
      </c>
      <c r="U17" s="354">
        <v>239785407.59236532</v>
      </c>
      <c r="V17" s="389"/>
      <c r="W17" s="372"/>
      <c r="X17" s="342" t="s">
        <v>326</v>
      </c>
      <c r="Y17" s="351">
        <v>23226680.765000001</v>
      </c>
      <c r="Z17" s="351">
        <v>16184643.320878342</v>
      </c>
      <c r="AA17" s="351">
        <v>18883027.534689799</v>
      </c>
      <c r="AB17" s="351">
        <v>18605315.722396392</v>
      </c>
      <c r="AC17" s="351">
        <v>17245454.18193569</v>
      </c>
      <c r="AD17" s="351">
        <v>17507669.333204199</v>
      </c>
      <c r="AE17" s="351">
        <v>17209968.630219519</v>
      </c>
      <c r="AF17" s="351">
        <v>16413118.011994272</v>
      </c>
      <c r="AG17" s="351">
        <v>16708599.314886792</v>
      </c>
      <c r="AH17" s="351">
        <v>16115525.73188914</v>
      </c>
      <c r="AI17" s="351">
        <v>19654694.353094429</v>
      </c>
      <c r="AJ17" s="351">
        <v>19852333.722794421</v>
      </c>
      <c r="AK17" s="352">
        <v>217607030.62298301</v>
      </c>
      <c r="AL17" s="353">
        <v>111652790.85810442</v>
      </c>
      <c r="AM17" s="352">
        <v>105954239.76487857</v>
      </c>
      <c r="AN17" s="353">
        <v>58294351.620568141</v>
      </c>
      <c r="AO17" s="351">
        <v>53358439.237536281</v>
      </c>
      <c r="AP17" s="351">
        <v>50331685.957100585</v>
      </c>
      <c r="AQ17" s="354">
        <v>55622553.807777993</v>
      </c>
    </row>
    <row r="18" spans="1:43" s="1" customFormat="1" ht="75" x14ac:dyDescent="0.2">
      <c r="A18" s="370" t="s">
        <v>413</v>
      </c>
      <c r="B18" s="320" t="s">
        <v>327</v>
      </c>
      <c r="C18" s="347">
        <v>78968728.885571644</v>
      </c>
      <c r="D18" s="347">
        <v>58442846.769470386</v>
      </c>
      <c r="E18" s="347">
        <v>61657160.206484519</v>
      </c>
      <c r="F18" s="347">
        <v>60719896.572761029</v>
      </c>
      <c r="G18" s="347">
        <v>62077813.56754218</v>
      </c>
      <c r="H18" s="347">
        <v>56610226.860103719</v>
      </c>
      <c r="I18" s="347">
        <v>57583159.83272516</v>
      </c>
      <c r="J18" s="347">
        <v>52901145.627682924</v>
      </c>
      <c r="K18" s="347">
        <v>55680593.705863751</v>
      </c>
      <c r="L18" s="347">
        <v>57502762.721424527</v>
      </c>
      <c r="M18" s="347">
        <v>58008238.759199388</v>
      </c>
      <c r="N18" s="347">
        <v>57929537.83873836</v>
      </c>
      <c r="O18" s="348">
        <v>718082111.34756792</v>
      </c>
      <c r="P18" s="349">
        <v>378476672.86193347</v>
      </c>
      <c r="Q18" s="348">
        <v>339605438.48563415</v>
      </c>
      <c r="R18" s="349">
        <v>199068735.86152655</v>
      </c>
      <c r="S18" s="347">
        <v>179407937.00040692</v>
      </c>
      <c r="T18" s="347">
        <v>166164899.16627184</v>
      </c>
      <c r="U18" s="350">
        <v>173440539.31936228</v>
      </c>
      <c r="W18" s="370" t="s">
        <v>413</v>
      </c>
      <c r="X18" s="320" t="s">
        <v>327</v>
      </c>
      <c r="Y18" s="347">
        <v>19601680.765000001</v>
      </c>
      <c r="Z18" s="347">
        <v>13951219.353999998</v>
      </c>
      <c r="AA18" s="347">
        <v>15859315.39996757</v>
      </c>
      <c r="AB18" s="347">
        <v>14891717.959314026</v>
      </c>
      <c r="AC18" s="347">
        <v>14441552.009856788</v>
      </c>
      <c r="AD18" s="347">
        <v>14253252.810023846</v>
      </c>
      <c r="AE18" s="347">
        <v>14045317.537863031</v>
      </c>
      <c r="AF18" s="347">
        <v>13127912.719705531</v>
      </c>
      <c r="AG18" s="347">
        <v>13439764.515985955</v>
      </c>
      <c r="AH18" s="347">
        <v>12949109.342952287</v>
      </c>
      <c r="AI18" s="347">
        <v>15267217.710917965</v>
      </c>
      <c r="AJ18" s="347">
        <v>16278970.497396002</v>
      </c>
      <c r="AK18" s="348">
        <v>178107030.62298301</v>
      </c>
      <c r="AL18" s="349">
        <v>92998738.298162222</v>
      </c>
      <c r="AM18" s="348">
        <v>85108292.324820772</v>
      </c>
      <c r="AN18" s="349">
        <v>49412215.518967569</v>
      </c>
      <c r="AO18" s="347">
        <v>43586522.77919466</v>
      </c>
      <c r="AP18" s="347">
        <v>40612994.773554519</v>
      </c>
      <c r="AQ18" s="350">
        <v>44495297.551266253</v>
      </c>
    </row>
    <row r="19" spans="1:43" s="1" customFormat="1" ht="30" x14ac:dyDescent="0.2">
      <c r="A19" s="370" t="s">
        <v>413</v>
      </c>
      <c r="B19" s="321" t="s">
        <v>328</v>
      </c>
      <c r="C19" s="338">
        <v>13874286.082059536</v>
      </c>
      <c r="D19" s="338">
        <v>7789072.8881737748</v>
      </c>
      <c r="E19" s="338">
        <v>10709975.221238941</v>
      </c>
      <c r="F19" s="338">
        <v>13630877.554304106</v>
      </c>
      <c r="G19" s="338">
        <v>9249524.0547063556</v>
      </c>
      <c r="H19" s="338">
        <v>10953383.748994371</v>
      </c>
      <c r="I19" s="338">
        <v>9736341.1102172174</v>
      </c>
      <c r="J19" s="338">
        <v>9736341.1102172174</v>
      </c>
      <c r="K19" s="338">
        <v>11196792.276749801</v>
      </c>
      <c r="L19" s="338">
        <v>9249524.0547063556</v>
      </c>
      <c r="M19" s="338">
        <v>16064962.83185841</v>
      </c>
      <c r="N19" s="338">
        <v>11683609.332260663</v>
      </c>
      <c r="O19" s="339">
        <v>133874690.26548675</v>
      </c>
      <c r="P19" s="340">
        <v>66207119.549477085</v>
      </c>
      <c r="Q19" s="339">
        <v>67667570.716009662</v>
      </c>
      <c r="R19" s="340">
        <v>32373334.191472251</v>
      </c>
      <c r="S19" s="338">
        <v>33833785.358004831</v>
      </c>
      <c r="T19" s="338">
        <v>30669474.497184236</v>
      </c>
      <c r="U19" s="341">
        <v>36998096.21882543</v>
      </c>
      <c r="W19" s="370" t="s">
        <v>413</v>
      </c>
      <c r="X19" s="321" t="s">
        <v>328</v>
      </c>
      <c r="Y19" s="338">
        <v>2850000</v>
      </c>
      <c r="Z19" s="338">
        <v>1600000</v>
      </c>
      <c r="AA19" s="338">
        <v>2200000</v>
      </c>
      <c r="AB19" s="338">
        <v>2800000</v>
      </c>
      <c r="AC19" s="338">
        <v>1900000</v>
      </c>
      <c r="AD19" s="338">
        <v>2250000</v>
      </c>
      <c r="AE19" s="338">
        <v>2000000</v>
      </c>
      <c r="AF19" s="338">
        <v>2000000</v>
      </c>
      <c r="AG19" s="338">
        <v>2300000</v>
      </c>
      <c r="AH19" s="338">
        <v>1900000</v>
      </c>
      <c r="AI19" s="338">
        <v>3300000</v>
      </c>
      <c r="AJ19" s="338">
        <v>2400000</v>
      </c>
      <c r="AK19" s="339">
        <v>27500000</v>
      </c>
      <c r="AL19" s="340">
        <v>13600000</v>
      </c>
      <c r="AM19" s="339">
        <v>13900000</v>
      </c>
      <c r="AN19" s="340">
        <v>6650000</v>
      </c>
      <c r="AO19" s="338">
        <v>6950000</v>
      </c>
      <c r="AP19" s="338">
        <v>6300000</v>
      </c>
      <c r="AQ19" s="341">
        <v>7600000</v>
      </c>
    </row>
    <row r="20" spans="1:43" s="1" customFormat="1" ht="16.5" x14ac:dyDescent="0.2">
      <c r="A20" s="370" t="s">
        <v>413</v>
      </c>
      <c r="B20" s="343" t="s">
        <v>285</v>
      </c>
      <c r="C20" s="302">
        <v>6218431.3832800109</v>
      </c>
      <c r="D20" s="302">
        <v>5499656.0211478109</v>
      </c>
      <c r="E20" s="302">
        <v>6853284.9608889585</v>
      </c>
      <c r="F20" s="302">
        <v>7601133.3888452994</v>
      </c>
      <c r="G20" s="302">
        <v>7520466.071696463</v>
      </c>
      <c r="H20" s="302">
        <v>8356745.4728605291</v>
      </c>
      <c r="I20" s="302">
        <v>9689897.0884059891</v>
      </c>
      <c r="J20" s="302">
        <v>10692908.031842317</v>
      </c>
      <c r="K20" s="302">
        <v>8060705.5268549686</v>
      </c>
      <c r="L20" s="302">
        <v>10536584.355954612</v>
      </c>
      <c r="M20" s="302">
        <v>9047805.662908189</v>
      </c>
      <c r="N20" s="302">
        <v>9762382.0353148486</v>
      </c>
      <c r="O20" s="344">
        <v>99840000</v>
      </c>
      <c r="P20" s="345">
        <v>42049717.298719071</v>
      </c>
      <c r="Q20" s="344">
        <v>57790282.701280929</v>
      </c>
      <c r="R20" s="345">
        <v>18571372.365316782</v>
      </c>
      <c r="S20" s="302">
        <v>23478344.933402292</v>
      </c>
      <c r="T20" s="302">
        <v>28443510.647103276</v>
      </c>
      <c r="U20" s="346">
        <v>29346772.054177649</v>
      </c>
      <c r="W20" s="370" t="s">
        <v>413</v>
      </c>
      <c r="X20" s="343" t="s">
        <v>285</v>
      </c>
      <c r="Y20" s="302">
        <v>775000</v>
      </c>
      <c r="Z20" s="302">
        <v>633423.96687834384</v>
      </c>
      <c r="AA20" s="302">
        <v>823712.13472223061</v>
      </c>
      <c r="AB20" s="302">
        <v>913597.76308236772</v>
      </c>
      <c r="AC20" s="302">
        <v>903902.17207890179</v>
      </c>
      <c r="AD20" s="302">
        <v>1004416.5231803521</v>
      </c>
      <c r="AE20" s="302">
        <v>1164651.092356489</v>
      </c>
      <c r="AF20" s="302">
        <v>1285205.2922887402</v>
      </c>
      <c r="AG20" s="302">
        <v>968834.79890083754</v>
      </c>
      <c r="AH20" s="302">
        <v>1266416.3889368523</v>
      </c>
      <c r="AI20" s="302">
        <v>1087476.6421764651</v>
      </c>
      <c r="AJ20" s="302">
        <v>1173363.2253984194</v>
      </c>
      <c r="AK20" s="344">
        <v>12000000</v>
      </c>
      <c r="AL20" s="345">
        <v>5054052.5599421961</v>
      </c>
      <c r="AM20" s="344">
        <v>6945947.4400578039</v>
      </c>
      <c r="AN20" s="345">
        <v>2232136.1016005743</v>
      </c>
      <c r="AO20" s="302">
        <v>2821916.4583416218</v>
      </c>
      <c r="AP20" s="302">
        <v>3418691.1835460667</v>
      </c>
      <c r="AQ20" s="346">
        <v>3527256.2565117367</v>
      </c>
    </row>
    <row r="21" spans="1:43" s="74" customFormat="1" ht="75" x14ac:dyDescent="0.2">
      <c r="B21" s="320" t="s">
        <v>394</v>
      </c>
      <c r="C21" s="458">
        <f>Y21*1.12/0.275</f>
        <v>85136342.585890919</v>
      </c>
      <c r="D21" s="458">
        <f t="shared" ref="D21:N21" si="0">Z21*1.12/0.275</f>
        <v>59324074.427074075</v>
      </c>
      <c r="E21" s="458">
        <f t="shared" si="0"/>
        <v>69214879.108972073</v>
      </c>
      <c r="F21" s="458">
        <f t="shared" si="0"/>
        <v>68196939.084274784</v>
      </c>
      <c r="G21" s="458">
        <f t="shared" si="0"/>
        <v>63212428.419604272</v>
      </c>
      <c r="H21" s="458">
        <f t="shared" si="0"/>
        <v>64173566.137708485</v>
      </c>
      <c r="I21" s="458">
        <f t="shared" si="0"/>
        <v>63082357.74276828</v>
      </c>
      <c r="J21" s="458">
        <f t="shared" si="0"/>
        <v>60161538.022146285</v>
      </c>
      <c r="K21" s="458">
        <f t="shared" si="0"/>
        <v>61244611.30693049</v>
      </c>
      <c r="L21" s="458">
        <f t="shared" si="0"/>
        <v>59070727.046342738</v>
      </c>
      <c r="M21" s="458">
        <f t="shared" si="0"/>
        <v>72043388.756069764</v>
      </c>
      <c r="N21" s="458">
        <f t="shared" si="0"/>
        <v>72767826.882097363</v>
      </c>
      <c r="O21" s="459">
        <f>SUM(C21:N21)</f>
        <v>797628679.51987958</v>
      </c>
      <c r="P21" s="460">
        <f>SUM(C21:H21)</f>
        <v>409258229.76352459</v>
      </c>
      <c r="Q21" s="459">
        <f>SUM(I21:N21)</f>
        <v>388370449.75635493</v>
      </c>
      <c r="R21" s="460">
        <f>SUM(C21:E21)</f>
        <v>213675296.12193707</v>
      </c>
      <c r="S21" s="458">
        <f>SUM(F21:H21)</f>
        <v>195582933.64158756</v>
      </c>
      <c r="T21" s="458">
        <f>SUM(I21:K21)</f>
        <v>184488507.07184505</v>
      </c>
      <c r="U21" s="461">
        <f>SUM(L21:N21)</f>
        <v>203881942.68450987</v>
      </c>
      <c r="X21" s="320" t="s">
        <v>394</v>
      </c>
      <c r="Y21" s="458">
        <v>20904012.688500002</v>
      </c>
      <c r="Z21" s="458">
        <v>14566178.988790508</v>
      </c>
      <c r="AA21" s="458">
        <v>16994724.78122082</v>
      </c>
      <c r="AB21" s="458">
        <v>16744784.150156753</v>
      </c>
      <c r="AC21" s="458">
        <v>15520908.763742121</v>
      </c>
      <c r="AD21" s="458">
        <v>15756902.399883779</v>
      </c>
      <c r="AE21" s="458">
        <v>15488971.767197568</v>
      </c>
      <c r="AF21" s="458">
        <v>14771806.210794846</v>
      </c>
      <c r="AG21" s="458">
        <v>15037739.383398112</v>
      </c>
      <c r="AH21" s="458">
        <v>14503973.158700226</v>
      </c>
      <c r="AI21" s="458">
        <v>17689224.917784985</v>
      </c>
      <c r="AJ21" s="458">
        <v>17867100.350514978</v>
      </c>
      <c r="AK21" s="459">
        <v>195846327.56068471</v>
      </c>
      <c r="AL21" s="460">
        <v>100487511.77229398</v>
      </c>
      <c r="AM21" s="459">
        <v>95358815.788390711</v>
      </c>
      <c r="AN21" s="460">
        <v>52464916.45851133</v>
      </c>
      <c r="AO21" s="458">
        <v>48022595.313782655</v>
      </c>
      <c r="AP21" s="458">
        <v>45298517.361390531</v>
      </c>
      <c r="AQ21" s="461">
        <v>50060298.427000195</v>
      </c>
    </row>
    <row r="22" spans="1:43" s="74" customFormat="1" ht="45" x14ac:dyDescent="0.2">
      <c r="B22" s="343" t="s">
        <v>396</v>
      </c>
      <c r="C22" s="302">
        <f>C17-C21</f>
        <v>13925103.765020266</v>
      </c>
      <c r="D22" s="302">
        <f t="shared" ref="D22:N22" si="1">D17-D21</f>
        <v>12407501.251717895</v>
      </c>
      <c r="E22" s="302">
        <f t="shared" si="1"/>
        <v>10005541.279640347</v>
      </c>
      <c r="F22" s="302">
        <f t="shared" si="1"/>
        <v>13754968.431635648</v>
      </c>
      <c r="G22" s="302">
        <f t="shared" si="1"/>
        <v>15635375.274340719</v>
      </c>
      <c r="H22" s="302">
        <f t="shared" si="1"/>
        <v>11746789.944250137</v>
      </c>
      <c r="I22" s="302">
        <f t="shared" si="1"/>
        <v>13927040.288580097</v>
      </c>
      <c r="J22" s="302">
        <f t="shared" si="1"/>
        <v>13168856.747596174</v>
      </c>
      <c r="K22" s="302">
        <f t="shared" si="1"/>
        <v>13693480.202538021</v>
      </c>
      <c r="L22" s="302">
        <f t="shared" si="1"/>
        <v>18218144.085742764</v>
      </c>
      <c r="M22" s="302">
        <f t="shared" si="1"/>
        <v>11077618.497896209</v>
      </c>
      <c r="N22" s="302">
        <f t="shared" si="1"/>
        <v>6607702.3242164999</v>
      </c>
      <c r="O22" s="462">
        <f>SUM(C22:N22)</f>
        <v>154168122.09317476</v>
      </c>
      <c r="P22" s="463">
        <f>SUM(C22:H22)</f>
        <v>77475279.946605012</v>
      </c>
      <c r="Q22" s="462">
        <f>SUM(I22:N22)</f>
        <v>76692842.146569774</v>
      </c>
      <c r="R22" s="463">
        <f>SUM(C22:E22)</f>
        <v>36338146.296378508</v>
      </c>
      <c r="S22" s="464">
        <f>SUM(F22:H22)</f>
        <v>41137133.650226504</v>
      </c>
      <c r="T22" s="464">
        <f>SUM(I22:K22)</f>
        <v>40789377.238714293</v>
      </c>
      <c r="U22" s="465">
        <f>SUM(L22:N22)</f>
        <v>35903464.907855473</v>
      </c>
      <c r="X22" s="343" t="s">
        <v>396</v>
      </c>
      <c r="Y22" s="302">
        <v>2322668.0765</v>
      </c>
      <c r="Z22" s="302">
        <v>1618464.3320878344</v>
      </c>
      <c r="AA22" s="302">
        <v>1888302.7534689801</v>
      </c>
      <c r="AB22" s="302">
        <v>1860531.5722396392</v>
      </c>
      <c r="AC22" s="302">
        <v>1724545.4181935692</v>
      </c>
      <c r="AD22" s="302">
        <v>1750766.9333204199</v>
      </c>
      <c r="AE22" s="302">
        <v>1720996.8630219521</v>
      </c>
      <c r="AF22" s="302">
        <v>1641311.8011994273</v>
      </c>
      <c r="AG22" s="302">
        <v>1670859.9314886793</v>
      </c>
      <c r="AH22" s="302">
        <v>1611552.573188914</v>
      </c>
      <c r="AI22" s="302">
        <v>1965469.4353094429</v>
      </c>
      <c r="AJ22" s="302">
        <v>1985233.3722794421</v>
      </c>
      <c r="AK22" s="462">
        <v>21760703.062298302</v>
      </c>
      <c r="AL22" s="463">
        <v>11165279.085810443</v>
      </c>
      <c r="AM22" s="462">
        <v>10595423.976487858</v>
      </c>
      <c r="AN22" s="463">
        <v>5829435.1620568149</v>
      </c>
      <c r="AO22" s="464">
        <v>5335843.9237536285</v>
      </c>
      <c r="AP22" s="464">
        <v>5033168.5957100587</v>
      </c>
      <c r="AQ22" s="465">
        <v>5562255.3807777995</v>
      </c>
    </row>
    <row r="27" spans="1:43" s="386" customFormat="1" ht="29.25" x14ac:dyDescent="0.2">
      <c r="B27" s="419" t="s">
        <v>417</v>
      </c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0"/>
      <c r="U27" s="380"/>
      <c r="X27" s="419" t="s">
        <v>418</v>
      </c>
      <c r="Y27" s="381"/>
      <c r="Z27" s="380"/>
      <c r="AA27" s="380"/>
      <c r="AB27" s="380"/>
      <c r="AC27" s="380"/>
      <c r="AD27" s="380"/>
      <c r="AE27" s="381"/>
      <c r="AF27" s="381"/>
      <c r="AG27" s="380"/>
      <c r="AH27" s="380"/>
      <c r="AI27" s="380"/>
      <c r="AJ27" s="324"/>
      <c r="AK27" s="420"/>
      <c r="AL27" s="380"/>
      <c r="AM27" s="380"/>
      <c r="AN27" s="380"/>
      <c r="AO27" s="380"/>
      <c r="AP27" s="380"/>
      <c r="AQ27" s="380"/>
    </row>
    <row r="28" spans="1:43" s="1" customFormat="1" ht="16.5" x14ac:dyDescent="0.2">
      <c r="B28" s="403" t="s">
        <v>276</v>
      </c>
      <c r="C28" s="94" t="s">
        <v>92</v>
      </c>
      <c r="D28" s="94" t="s">
        <v>93</v>
      </c>
      <c r="E28" s="94" t="s">
        <v>61</v>
      </c>
      <c r="F28" s="94" t="s">
        <v>62</v>
      </c>
      <c r="G28" s="94" t="s">
        <v>63</v>
      </c>
      <c r="H28" s="94" t="s">
        <v>64</v>
      </c>
      <c r="I28" s="94" t="s">
        <v>65</v>
      </c>
      <c r="J28" s="94" t="s">
        <v>66</v>
      </c>
      <c r="K28" s="94" t="s">
        <v>67</v>
      </c>
      <c r="L28" s="94" t="s">
        <v>68</v>
      </c>
      <c r="M28" s="94" t="s">
        <v>69</v>
      </c>
      <c r="N28" s="94" t="s">
        <v>94</v>
      </c>
      <c r="O28" s="95" t="s">
        <v>277</v>
      </c>
      <c r="P28" s="404" t="s">
        <v>408</v>
      </c>
      <c r="Q28" s="95" t="s">
        <v>409</v>
      </c>
      <c r="R28" s="404" t="s">
        <v>333</v>
      </c>
      <c r="S28" s="94" t="s">
        <v>410</v>
      </c>
      <c r="T28" s="94" t="s">
        <v>411</v>
      </c>
      <c r="U28" s="405" t="s">
        <v>412</v>
      </c>
      <c r="X28" s="90" t="s">
        <v>325</v>
      </c>
      <c r="Y28" s="91" t="s">
        <v>92</v>
      </c>
      <c r="Z28" s="91" t="s">
        <v>93</v>
      </c>
      <c r="AA28" s="91" t="s">
        <v>61</v>
      </c>
      <c r="AB28" s="91" t="s">
        <v>62</v>
      </c>
      <c r="AC28" s="91" t="s">
        <v>63</v>
      </c>
      <c r="AD28" s="91" t="s">
        <v>64</v>
      </c>
      <c r="AE28" s="91" t="s">
        <v>65</v>
      </c>
      <c r="AF28" s="91" t="s">
        <v>66</v>
      </c>
      <c r="AG28" s="91" t="s">
        <v>67</v>
      </c>
      <c r="AH28" s="91" t="s">
        <v>68</v>
      </c>
      <c r="AI28" s="91" t="s">
        <v>69</v>
      </c>
      <c r="AJ28" s="91" t="s">
        <v>94</v>
      </c>
      <c r="AK28" s="92" t="s">
        <v>277</v>
      </c>
      <c r="AL28" s="285" t="s">
        <v>408</v>
      </c>
      <c r="AM28" s="92" t="s">
        <v>409</v>
      </c>
      <c r="AN28" s="285" t="s">
        <v>333</v>
      </c>
      <c r="AO28" s="91" t="s">
        <v>410</v>
      </c>
      <c r="AP28" s="91" t="s">
        <v>411</v>
      </c>
      <c r="AQ28" s="287" t="s">
        <v>412</v>
      </c>
    </row>
    <row r="29" spans="1:43" s="388" customFormat="1" ht="15" x14ac:dyDescent="0.2">
      <c r="B29" s="342" t="s">
        <v>326</v>
      </c>
      <c r="C29" s="495">
        <f>SUM(C30:C32)</f>
        <v>82505225.520000353</v>
      </c>
      <c r="D29" s="495">
        <f t="shared" ref="D29:N29" si="2">SUM(D30:D32)</f>
        <v>0</v>
      </c>
      <c r="E29" s="495">
        <f t="shared" si="2"/>
        <v>0</v>
      </c>
      <c r="F29" s="495">
        <f t="shared" si="2"/>
        <v>0</v>
      </c>
      <c r="G29" s="495">
        <f t="shared" si="2"/>
        <v>0</v>
      </c>
      <c r="H29" s="495">
        <f t="shared" si="2"/>
        <v>0</v>
      </c>
      <c r="I29" s="495">
        <f t="shared" si="2"/>
        <v>0</v>
      </c>
      <c r="J29" s="495">
        <f t="shared" si="2"/>
        <v>0</v>
      </c>
      <c r="K29" s="495">
        <f t="shared" si="2"/>
        <v>0</v>
      </c>
      <c r="L29" s="495">
        <f t="shared" si="2"/>
        <v>0</v>
      </c>
      <c r="M29" s="495">
        <f t="shared" si="2"/>
        <v>0</v>
      </c>
      <c r="N29" s="495">
        <f t="shared" si="2"/>
        <v>0</v>
      </c>
      <c r="O29" s="496">
        <f t="shared" ref="O29:O32" si="3">SUM(C29:N29)</f>
        <v>82505225.520000353</v>
      </c>
      <c r="P29" s="497">
        <f t="shared" ref="P29:P32" si="4">SUM(C29:H29)</f>
        <v>82505225.520000353</v>
      </c>
      <c r="Q29" s="496">
        <f t="shared" ref="Q29:Q32" si="5">SUM(I29:N29)</f>
        <v>0</v>
      </c>
      <c r="R29" s="497">
        <f t="shared" ref="R29:R32" si="6">SUM(C29:E29)</f>
        <v>82505225.520000353</v>
      </c>
      <c r="S29" s="495">
        <f t="shared" ref="S29:S32" si="7">SUM(F29:H29)</f>
        <v>0</v>
      </c>
      <c r="T29" s="495">
        <f t="shared" ref="T29:T32" si="8">SUM(I29:K29)</f>
        <v>0</v>
      </c>
      <c r="U29" s="498">
        <f t="shared" ref="U29:U32" si="9">SUM(L29:N29)</f>
        <v>0</v>
      </c>
      <c r="V29" s="389"/>
      <c r="W29" s="372"/>
      <c r="X29" s="342" t="s">
        <v>326</v>
      </c>
      <c r="Y29" s="495">
        <f t="shared" ref="Y29:AJ29" si="10">SUM(Y30:Y32)</f>
        <v>20488756.883773584</v>
      </c>
      <c r="Z29" s="495">
        <f t="shared" si="10"/>
        <v>0</v>
      </c>
      <c r="AA29" s="495">
        <f t="shared" si="10"/>
        <v>0</v>
      </c>
      <c r="AB29" s="495">
        <f t="shared" si="10"/>
        <v>0</v>
      </c>
      <c r="AC29" s="495">
        <f t="shared" si="10"/>
        <v>0</v>
      </c>
      <c r="AD29" s="495">
        <f t="shared" si="10"/>
        <v>0</v>
      </c>
      <c r="AE29" s="495">
        <f t="shared" si="10"/>
        <v>0</v>
      </c>
      <c r="AF29" s="495">
        <f t="shared" si="10"/>
        <v>0</v>
      </c>
      <c r="AG29" s="495">
        <f t="shared" si="10"/>
        <v>0</v>
      </c>
      <c r="AH29" s="495">
        <f t="shared" si="10"/>
        <v>0</v>
      </c>
      <c r="AI29" s="495">
        <f t="shared" si="10"/>
        <v>0</v>
      </c>
      <c r="AJ29" s="495">
        <f t="shared" si="10"/>
        <v>0</v>
      </c>
      <c r="AK29" s="496">
        <f t="shared" ref="AK29:AK34" si="11">SUM(Y29:AJ29)</f>
        <v>20488756.883773584</v>
      </c>
      <c r="AL29" s="497">
        <f t="shared" ref="AL29:AL34" si="12">SUM(Y29:AD29)</f>
        <v>20488756.883773584</v>
      </c>
      <c r="AM29" s="496">
        <f t="shared" ref="AM29:AM34" si="13">SUM(AE29:AJ29)</f>
        <v>0</v>
      </c>
      <c r="AN29" s="497">
        <f t="shared" ref="AN29:AN34" si="14">SUM(Y29:AA29)</f>
        <v>20488756.883773584</v>
      </c>
      <c r="AO29" s="495">
        <f t="shared" ref="AO29:AO34" si="15">SUM(AB29:AD29)</f>
        <v>0</v>
      </c>
      <c r="AP29" s="495">
        <f t="shared" ref="AP29:AP34" si="16">SUM(AE29:AG29)</f>
        <v>0</v>
      </c>
      <c r="AQ29" s="498">
        <f t="shared" ref="AQ29:AQ34" si="17">SUM(AH29:AJ29)</f>
        <v>0</v>
      </c>
    </row>
    <row r="30" spans="1:43" s="1" customFormat="1" ht="75" x14ac:dyDescent="0.2">
      <c r="A30" s="370" t="s">
        <v>413</v>
      </c>
      <c r="B30" s="320" t="s">
        <v>327</v>
      </c>
      <c r="C30" s="499">
        <f>C35+C36-C31-C38</f>
        <v>64087735.5</v>
      </c>
      <c r="D30" s="499">
        <f t="shared" ref="D30:N30" si="18">D35+D36-D31-D38</f>
        <v>0</v>
      </c>
      <c r="E30" s="499">
        <f t="shared" si="18"/>
        <v>0</v>
      </c>
      <c r="F30" s="499">
        <f t="shared" si="18"/>
        <v>0</v>
      </c>
      <c r="G30" s="499">
        <f t="shared" si="18"/>
        <v>0</v>
      </c>
      <c r="H30" s="499">
        <f t="shared" si="18"/>
        <v>0</v>
      </c>
      <c r="I30" s="499">
        <f t="shared" si="18"/>
        <v>0</v>
      </c>
      <c r="J30" s="499">
        <f t="shared" si="18"/>
        <v>0</v>
      </c>
      <c r="K30" s="499">
        <f t="shared" si="18"/>
        <v>0</v>
      </c>
      <c r="L30" s="499">
        <f t="shared" si="18"/>
        <v>0</v>
      </c>
      <c r="M30" s="499">
        <f t="shared" si="18"/>
        <v>0</v>
      </c>
      <c r="N30" s="499">
        <f t="shared" si="18"/>
        <v>0</v>
      </c>
      <c r="O30" s="500">
        <f t="shared" si="3"/>
        <v>64087735.5</v>
      </c>
      <c r="P30" s="501">
        <f t="shared" si="4"/>
        <v>64087735.5</v>
      </c>
      <c r="Q30" s="500">
        <f t="shared" si="5"/>
        <v>0</v>
      </c>
      <c r="R30" s="501">
        <f t="shared" si="6"/>
        <v>64087735.5</v>
      </c>
      <c r="S30" s="499">
        <f t="shared" si="7"/>
        <v>0</v>
      </c>
      <c r="T30" s="499">
        <f t="shared" si="8"/>
        <v>0</v>
      </c>
      <c r="U30" s="502">
        <f t="shared" si="9"/>
        <v>0</v>
      </c>
      <c r="W30" s="370" t="s">
        <v>413</v>
      </c>
      <c r="X30" s="320" t="s">
        <v>327</v>
      </c>
      <c r="Y30" s="499">
        <f>Y35+Y36-Y31-Y38</f>
        <v>16774409.483773587</v>
      </c>
      <c r="Z30" s="499">
        <f t="shared" ref="Z30" si="19">Z35+Z36-Z31-Z38</f>
        <v>0</v>
      </c>
      <c r="AA30" s="499">
        <f t="shared" ref="AA30" si="20">AA35+AA36-AA31-AA38</f>
        <v>0</v>
      </c>
      <c r="AB30" s="499">
        <f t="shared" ref="AB30" si="21">AB35+AB36-AB31-AB38</f>
        <v>0</v>
      </c>
      <c r="AC30" s="499">
        <f t="shared" ref="AC30" si="22">AC35+AC36-AC31-AC38</f>
        <v>0</v>
      </c>
      <c r="AD30" s="499">
        <f t="shared" ref="AD30" si="23">AD35+AD36-AD31-AD38</f>
        <v>0</v>
      </c>
      <c r="AE30" s="499">
        <f t="shared" ref="AE30" si="24">AE35+AE36-AE31-AE38</f>
        <v>0</v>
      </c>
      <c r="AF30" s="499">
        <f t="shared" ref="AF30" si="25">AF35+AF36-AF31-AF38</f>
        <v>0</v>
      </c>
      <c r="AG30" s="499">
        <f t="shared" ref="AG30" si="26">AG35+AG36-AG31-AG38</f>
        <v>0</v>
      </c>
      <c r="AH30" s="499">
        <f t="shared" ref="AH30" si="27">AH35+AH36-AH31-AH38</f>
        <v>0</v>
      </c>
      <c r="AI30" s="499">
        <f t="shared" ref="AI30" si="28">AI35+AI36-AI31-AI38</f>
        <v>0</v>
      </c>
      <c r="AJ30" s="499">
        <f t="shared" ref="AJ30" si="29">AJ35+AJ36-AJ31-AJ38</f>
        <v>0</v>
      </c>
      <c r="AK30" s="500">
        <f t="shared" si="11"/>
        <v>16774409.483773587</v>
      </c>
      <c r="AL30" s="501">
        <f t="shared" si="12"/>
        <v>16774409.483773587</v>
      </c>
      <c r="AM30" s="500">
        <f t="shared" si="13"/>
        <v>0</v>
      </c>
      <c r="AN30" s="501">
        <f t="shared" si="14"/>
        <v>16774409.483773587</v>
      </c>
      <c r="AO30" s="499">
        <f t="shared" si="15"/>
        <v>0</v>
      </c>
      <c r="AP30" s="499">
        <f t="shared" si="16"/>
        <v>0</v>
      </c>
      <c r="AQ30" s="502">
        <f t="shared" si="17"/>
        <v>0</v>
      </c>
    </row>
    <row r="31" spans="1:43" s="1" customFormat="1" ht="30" x14ac:dyDescent="0.2">
      <c r="A31" s="370" t="s">
        <v>413</v>
      </c>
      <c r="B31" s="321" t="s">
        <v>328</v>
      </c>
      <c r="C31" s="338">
        <v>11219451.699999999</v>
      </c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508">
        <f t="shared" si="3"/>
        <v>11219451.699999999</v>
      </c>
      <c r="P31" s="509">
        <f t="shared" si="4"/>
        <v>11219451.699999999</v>
      </c>
      <c r="Q31" s="508">
        <f t="shared" si="5"/>
        <v>0</v>
      </c>
      <c r="R31" s="509">
        <f t="shared" si="6"/>
        <v>11219451.699999999</v>
      </c>
      <c r="S31" s="507">
        <f t="shared" si="7"/>
        <v>0</v>
      </c>
      <c r="T31" s="507">
        <f t="shared" si="8"/>
        <v>0</v>
      </c>
      <c r="U31" s="510">
        <f t="shared" si="9"/>
        <v>0</v>
      </c>
      <c r="W31" s="370" t="s">
        <v>413</v>
      </c>
      <c r="X31" s="321" t="s">
        <v>328</v>
      </c>
      <c r="Y31" s="338">
        <v>2901472</v>
      </c>
      <c r="Z31" s="338"/>
      <c r="AA31" s="338"/>
      <c r="AB31" s="338"/>
      <c r="AC31" s="338"/>
      <c r="AD31" s="338"/>
      <c r="AE31" s="338"/>
      <c r="AF31" s="338"/>
      <c r="AG31" s="338"/>
      <c r="AH31" s="338"/>
      <c r="AI31" s="338"/>
      <c r="AJ31" s="338"/>
      <c r="AK31" s="339">
        <f t="shared" si="11"/>
        <v>2901472</v>
      </c>
      <c r="AL31" s="340">
        <f t="shared" si="12"/>
        <v>2901472</v>
      </c>
      <c r="AM31" s="339">
        <f t="shared" si="13"/>
        <v>0</v>
      </c>
      <c r="AN31" s="340">
        <f t="shared" si="14"/>
        <v>2901472</v>
      </c>
      <c r="AO31" s="338">
        <f t="shared" si="15"/>
        <v>0</v>
      </c>
      <c r="AP31" s="338">
        <f t="shared" si="16"/>
        <v>0</v>
      </c>
      <c r="AQ31" s="341">
        <f t="shared" si="17"/>
        <v>0</v>
      </c>
    </row>
    <row r="32" spans="1:43" s="1" customFormat="1" ht="16.5" x14ac:dyDescent="0.2">
      <c r="A32" s="370" t="s">
        <v>413</v>
      </c>
      <c r="B32" s="343" t="s">
        <v>285</v>
      </c>
      <c r="C32" s="503">
        <f>C37+C38</f>
        <v>7198038.3200003495</v>
      </c>
      <c r="D32" s="503">
        <f t="shared" ref="D32:N32" si="30">D37+D38</f>
        <v>0</v>
      </c>
      <c r="E32" s="503">
        <f t="shared" si="30"/>
        <v>0</v>
      </c>
      <c r="F32" s="503">
        <f t="shared" si="30"/>
        <v>0</v>
      </c>
      <c r="G32" s="503">
        <f t="shared" si="30"/>
        <v>0</v>
      </c>
      <c r="H32" s="503">
        <f t="shared" si="30"/>
        <v>0</v>
      </c>
      <c r="I32" s="503">
        <f t="shared" si="30"/>
        <v>0</v>
      </c>
      <c r="J32" s="503">
        <f t="shared" si="30"/>
        <v>0</v>
      </c>
      <c r="K32" s="503">
        <f t="shared" si="30"/>
        <v>0</v>
      </c>
      <c r="L32" s="503">
        <f t="shared" si="30"/>
        <v>0</v>
      </c>
      <c r="M32" s="503">
        <f t="shared" si="30"/>
        <v>0</v>
      </c>
      <c r="N32" s="503">
        <f t="shared" si="30"/>
        <v>0</v>
      </c>
      <c r="O32" s="504">
        <f t="shared" si="3"/>
        <v>7198038.3200003495</v>
      </c>
      <c r="P32" s="505">
        <f t="shared" si="4"/>
        <v>7198038.3200003495</v>
      </c>
      <c r="Q32" s="504">
        <f t="shared" si="5"/>
        <v>0</v>
      </c>
      <c r="R32" s="505">
        <f t="shared" si="6"/>
        <v>7198038.3200003495</v>
      </c>
      <c r="S32" s="503">
        <f t="shared" si="7"/>
        <v>0</v>
      </c>
      <c r="T32" s="503">
        <f t="shared" si="8"/>
        <v>0</v>
      </c>
      <c r="U32" s="506">
        <f t="shared" si="9"/>
        <v>0</v>
      </c>
      <c r="W32" s="370" t="s">
        <v>413</v>
      </c>
      <c r="X32" s="343" t="s">
        <v>285</v>
      </c>
      <c r="Y32" s="503">
        <f>Y37+Y38</f>
        <v>812875.39999999595</v>
      </c>
      <c r="Z32" s="503">
        <f t="shared" ref="Z32:AJ32" si="31">Z37+Z38</f>
        <v>0</v>
      </c>
      <c r="AA32" s="503">
        <f t="shared" si="31"/>
        <v>0</v>
      </c>
      <c r="AB32" s="503">
        <f t="shared" si="31"/>
        <v>0</v>
      </c>
      <c r="AC32" s="503">
        <f t="shared" si="31"/>
        <v>0</v>
      </c>
      <c r="AD32" s="503">
        <f t="shared" si="31"/>
        <v>0</v>
      </c>
      <c r="AE32" s="503">
        <f t="shared" si="31"/>
        <v>0</v>
      </c>
      <c r="AF32" s="503">
        <f t="shared" si="31"/>
        <v>0</v>
      </c>
      <c r="AG32" s="503">
        <f t="shared" si="31"/>
        <v>0</v>
      </c>
      <c r="AH32" s="503">
        <f t="shared" si="31"/>
        <v>0</v>
      </c>
      <c r="AI32" s="503">
        <f t="shared" si="31"/>
        <v>0</v>
      </c>
      <c r="AJ32" s="503">
        <f t="shared" si="31"/>
        <v>0</v>
      </c>
      <c r="AK32" s="504">
        <f t="shared" si="11"/>
        <v>812875.39999999595</v>
      </c>
      <c r="AL32" s="505">
        <f t="shared" si="12"/>
        <v>812875.39999999595</v>
      </c>
      <c r="AM32" s="504">
        <f t="shared" si="13"/>
        <v>0</v>
      </c>
      <c r="AN32" s="505">
        <f t="shared" si="14"/>
        <v>812875.39999999595</v>
      </c>
      <c r="AO32" s="503">
        <f t="shared" si="15"/>
        <v>0</v>
      </c>
      <c r="AP32" s="503">
        <f t="shared" si="16"/>
        <v>0</v>
      </c>
      <c r="AQ32" s="506">
        <f t="shared" si="17"/>
        <v>0</v>
      </c>
    </row>
    <row r="33" spans="1:43" s="74" customFormat="1" ht="75" x14ac:dyDescent="0.2">
      <c r="B33" s="320" t="s">
        <v>394</v>
      </c>
      <c r="C33" s="512">
        <f>C36+C39</f>
        <v>70175174.200000003</v>
      </c>
      <c r="D33" s="512">
        <f t="shared" ref="D33:N33" si="32">D36+D39</f>
        <v>0</v>
      </c>
      <c r="E33" s="512">
        <f t="shared" si="32"/>
        <v>0</v>
      </c>
      <c r="F33" s="512">
        <f t="shared" si="32"/>
        <v>0</v>
      </c>
      <c r="G33" s="512">
        <f t="shared" si="32"/>
        <v>0</v>
      </c>
      <c r="H33" s="512">
        <f t="shared" si="32"/>
        <v>0</v>
      </c>
      <c r="I33" s="512">
        <f t="shared" si="32"/>
        <v>0</v>
      </c>
      <c r="J33" s="512">
        <f t="shared" si="32"/>
        <v>0</v>
      </c>
      <c r="K33" s="512">
        <f t="shared" si="32"/>
        <v>0</v>
      </c>
      <c r="L33" s="512">
        <f t="shared" si="32"/>
        <v>0</v>
      </c>
      <c r="M33" s="512">
        <f t="shared" si="32"/>
        <v>0</v>
      </c>
      <c r="N33" s="512">
        <f t="shared" si="32"/>
        <v>0</v>
      </c>
      <c r="O33" s="513">
        <f t="shared" ref="O33:O39" si="33">SUM(C33:N33)</f>
        <v>70175174.200000003</v>
      </c>
      <c r="P33" s="514">
        <f t="shared" ref="P33:P39" si="34">SUM(C33:H33)</f>
        <v>70175174.200000003</v>
      </c>
      <c r="Q33" s="513">
        <f t="shared" ref="Q33:Q39" si="35">SUM(I33:N33)</f>
        <v>0</v>
      </c>
      <c r="R33" s="514">
        <f t="shared" ref="R33:R39" si="36">SUM(C33:E33)</f>
        <v>70175174.200000003</v>
      </c>
      <c r="S33" s="512">
        <f t="shared" ref="S33:S39" si="37">SUM(F33:H33)</f>
        <v>0</v>
      </c>
      <c r="T33" s="512">
        <f t="shared" ref="T33:T39" si="38">SUM(I33:K33)</f>
        <v>0</v>
      </c>
      <c r="U33" s="515">
        <f t="shared" ref="U33:U39" si="39">SUM(L33:N33)</f>
        <v>0</v>
      </c>
      <c r="X33" s="320" t="s">
        <v>394</v>
      </c>
      <c r="Y33" s="512">
        <f>Y36+Y39</f>
        <v>18599164.103773586</v>
      </c>
      <c r="Z33" s="512">
        <f t="shared" ref="Z33:AJ33" si="40">Z36+Z39</f>
        <v>0</v>
      </c>
      <c r="AA33" s="512">
        <f t="shared" si="40"/>
        <v>0</v>
      </c>
      <c r="AB33" s="512">
        <f t="shared" si="40"/>
        <v>0</v>
      </c>
      <c r="AC33" s="512">
        <f t="shared" si="40"/>
        <v>0</v>
      </c>
      <c r="AD33" s="512">
        <f t="shared" si="40"/>
        <v>0</v>
      </c>
      <c r="AE33" s="512">
        <f t="shared" si="40"/>
        <v>0</v>
      </c>
      <c r="AF33" s="512">
        <f t="shared" si="40"/>
        <v>0</v>
      </c>
      <c r="AG33" s="512">
        <f t="shared" si="40"/>
        <v>0</v>
      </c>
      <c r="AH33" s="512">
        <f t="shared" si="40"/>
        <v>0</v>
      </c>
      <c r="AI33" s="512">
        <f t="shared" si="40"/>
        <v>0</v>
      </c>
      <c r="AJ33" s="512">
        <f t="shared" si="40"/>
        <v>0</v>
      </c>
      <c r="AK33" s="513">
        <f t="shared" si="11"/>
        <v>18599164.103773586</v>
      </c>
      <c r="AL33" s="514">
        <f t="shared" si="12"/>
        <v>18599164.103773586</v>
      </c>
      <c r="AM33" s="513">
        <f t="shared" si="13"/>
        <v>0</v>
      </c>
      <c r="AN33" s="514">
        <f t="shared" si="14"/>
        <v>18599164.103773586</v>
      </c>
      <c r="AO33" s="512">
        <f t="shared" si="15"/>
        <v>0</v>
      </c>
      <c r="AP33" s="512">
        <f t="shared" si="16"/>
        <v>0</v>
      </c>
      <c r="AQ33" s="515">
        <f t="shared" si="17"/>
        <v>0</v>
      </c>
    </row>
    <row r="34" spans="1:43" s="74" customFormat="1" ht="45" x14ac:dyDescent="0.2">
      <c r="B34" s="343" t="s">
        <v>396</v>
      </c>
      <c r="C34" s="302">
        <v>10410390.5</v>
      </c>
      <c r="D34" s="302"/>
      <c r="E34" s="302"/>
      <c r="F34" s="302"/>
      <c r="G34" s="302"/>
      <c r="H34" s="302"/>
      <c r="I34" s="302"/>
      <c r="J34" s="302"/>
      <c r="K34" s="302"/>
      <c r="L34" s="302"/>
      <c r="M34" s="302"/>
      <c r="N34" s="302"/>
      <c r="O34" s="516">
        <f t="shared" si="33"/>
        <v>10410390.5</v>
      </c>
      <c r="P34" s="517">
        <f t="shared" si="34"/>
        <v>10410390.5</v>
      </c>
      <c r="Q34" s="516">
        <f t="shared" si="35"/>
        <v>0</v>
      </c>
      <c r="R34" s="517">
        <f t="shared" si="36"/>
        <v>10410390.5</v>
      </c>
      <c r="S34" s="518">
        <f t="shared" si="37"/>
        <v>0</v>
      </c>
      <c r="T34" s="518">
        <f t="shared" si="38"/>
        <v>0</v>
      </c>
      <c r="U34" s="519">
        <f t="shared" si="39"/>
        <v>0</v>
      </c>
      <c r="X34" s="343" t="s">
        <v>396</v>
      </c>
      <c r="Y34" s="302">
        <v>1666302.9</v>
      </c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516">
        <f t="shared" si="11"/>
        <v>1666302.9</v>
      </c>
      <c r="AL34" s="517">
        <f t="shared" si="12"/>
        <v>1666302.9</v>
      </c>
      <c r="AM34" s="516">
        <f t="shared" si="13"/>
        <v>0</v>
      </c>
      <c r="AN34" s="517">
        <f t="shared" si="14"/>
        <v>1666302.9</v>
      </c>
      <c r="AO34" s="518">
        <f t="shared" si="15"/>
        <v>0</v>
      </c>
      <c r="AP34" s="518">
        <f t="shared" si="16"/>
        <v>0</v>
      </c>
      <c r="AQ34" s="519">
        <f t="shared" si="17"/>
        <v>0</v>
      </c>
    </row>
    <row r="35" spans="1:43" s="494" customFormat="1" ht="16.5" x14ac:dyDescent="0.2">
      <c r="B35" s="321" t="s">
        <v>132</v>
      </c>
      <c r="C35" s="458">
        <v>78894668</v>
      </c>
      <c r="D35" s="458"/>
      <c r="E35" s="458"/>
      <c r="F35" s="458"/>
      <c r="G35" s="458"/>
      <c r="H35" s="458"/>
      <c r="I35" s="458"/>
      <c r="J35" s="458"/>
      <c r="K35" s="458"/>
      <c r="L35" s="458"/>
      <c r="M35" s="458"/>
      <c r="N35" s="458"/>
      <c r="O35" s="513">
        <f t="shared" si="33"/>
        <v>78894668</v>
      </c>
      <c r="P35" s="514">
        <f t="shared" si="34"/>
        <v>78894668</v>
      </c>
      <c r="Q35" s="513">
        <f t="shared" si="35"/>
        <v>0</v>
      </c>
      <c r="R35" s="514">
        <f t="shared" si="36"/>
        <v>78894668</v>
      </c>
      <c r="S35" s="512">
        <f t="shared" si="37"/>
        <v>0</v>
      </c>
      <c r="T35" s="512">
        <f t="shared" si="38"/>
        <v>0</v>
      </c>
      <c r="U35" s="515">
        <f t="shared" si="39"/>
        <v>0</v>
      </c>
      <c r="X35" s="321" t="s">
        <v>132</v>
      </c>
      <c r="Y35" s="458">
        <v>20094261</v>
      </c>
      <c r="Z35" s="458"/>
      <c r="AA35" s="458"/>
      <c r="AB35" s="458"/>
      <c r="AC35" s="458"/>
      <c r="AD35" s="458"/>
      <c r="AE35" s="458"/>
      <c r="AF35" s="458"/>
      <c r="AG35" s="458"/>
      <c r="AH35" s="458"/>
      <c r="AI35" s="458"/>
      <c r="AJ35" s="458"/>
      <c r="AK35" s="513">
        <f>SUM(Y35:AJ35)</f>
        <v>20094261</v>
      </c>
      <c r="AL35" s="514">
        <f>SUM(Y35:AD35)</f>
        <v>20094261</v>
      </c>
      <c r="AM35" s="513">
        <f>SUM(AE35:AJ35)</f>
        <v>0</v>
      </c>
      <c r="AN35" s="514">
        <f>SUM(Y35:AA35)</f>
        <v>20094261</v>
      </c>
      <c r="AO35" s="512">
        <f>SUM(AB35:AD35)</f>
        <v>0</v>
      </c>
      <c r="AP35" s="512">
        <f>SUM(AE35:AG35)</f>
        <v>0</v>
      </c>
      <c r="AQ35" s="515">
        <f>SUM(AH35:AJ35)</f>
        <v>0</v>
      </c>
    </row>
    <row r="36" spans="1:43" s="494" customFormat="1" ht="16.5" x14ac:dyDescent="0.2">
      <c r="B36" s="343" t="s">
        <v>423</v>
      </c>
      <c r="C36" s="302">
        <v>1690897</v>
      </c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516">
        <f t="shared" si="33"/>
        <v>1690897</v>
      </c>
      <c r="P36" s="517">
        <f t="shared" si="34"/>
        <v>1690897</v>
      </c>
      <c r="Q36" s="516">
        <f t="shared" si="35"/>
        <v>0</v>
      </c>
      <c r="R36" s="517">
        <f t="shared" si="36"/>
        <v>1690897</v>
      </c>
      <c r="S36" s="518">
        <f t="shared" si="37"/>
        <v>0</v>
      </c>
      <c r="T36" s="518">
        <f t="shared" si="38"/>
        <v>0</v>
      </c>
      <c r="U36" s="519">
        <f t="shared" si="39"/>
        <v>0</v>
      </c>
      <c r="X36" s="343" t="s">
        <v>423</v>
      </c>
      <c r="Y36" s="302">
        <v>171206.60377358491</v>
      </c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2"/>
      <c r="AK36" s="516">
        <f>SUM(Y36:AJ36)</f>
        <v>171206.60377358491</v>
      </c>
      <c r="AL36" s="517">
        <f>SUM(Y36:AD36)</f>
        <v>171206.60377358491</v>
      </c>
      <c r="AM36" s="516">
        <f>SUM(AE36:AJ36)</f>
        <v>0</v>
      </c>
      <c r="AN36" s="517">
        <f>SUM(Y36:AA36)</f>
        <v>171206.60377358491</v>
      </c>
      <c r="AO36" s="518">
        <f>SUM(AB36:AD36)</f>
        <v>0</v>
      </c>
      <c r="AP36" s="518">
        <f>SUM(AE36:AG36)</f>
        <v>0</v>
      </c>
      <c r="AQ36" s="519">
        <f>SUM(AH36:AJ36)</f>
        <v>0</v>
      </c>
    </row>
    <row r="37" spans="1:43" s="494" customFormat="1" ht="30" x14ac:dyDescent="0.2">
      <c r="B37" s="321" t="s">
        <v>424</v>
      </c>
      <c r="C37" s="458">
        <v>1919660.52000035</v>
      </c>
      <c r="D37" s="458"/>
      <c r="E37" s="458"/>
      <c r="F37" s="458"/>
      <c r="G37" s="458"/>
      <c r="H37" s="458"/>
      <c r="I37" s="458"/>
      <c r="J37" s="458"/>
      <c r="K37" s="458"/>
      <c r="L37" s="458"/>
      <c r="M37" s="458"/>
      <c r="N37" s="458"/>
      <c r="O37" s="513">
        <f t="shared" si="33"/>
        <v>1919660.52000035</v>
      </c>
      <c r="P37" s="514">
        <f t="shared" si="34"/>
        <v>1919660.52000035</v>
      </c>
      <c r="Q37" s="513">
        <f t="shared" si="35"/>
        <v>0</v>
      </c>
      <c r="R37" s="514">
        <f t="shared" si="36"/>
        <v>1919660.52000035</v>
      </c>
      <c r="S37" s="512">
        <f t="shared" si="37"/>
        <v>0</v>
      </c>
      <c r="T37" s="512">
        <f t="shared" si="38"/>
        <v>0</v>
      </c>
      <c r="U37" s="515">
        <f t="shared" si="39"/>
        <v>0</v>
      </c>
      <c r="X37" s="321" t="s">
        <v>424</v>
      </c>
      <c r="Y37" s="458">
        <v>223289.27999999601</v>
      </c>
      <c r="Z37" s="458"/>
      <c r="AA37" s="458"/>
      <c r="AB37" s="458"/>
      <c r="AC37" s="458"/>
      <c r="AD37" s="458"/>
      <c r="AE37" s="458"/>
      <c r="AF37" s="458"/>
      <c r="AG37" s="458"/>
      <c r="AH37" s="458"/>
      <c r="AI37" s="458"/>
      <c r="AJ37" s="458"/>
      <c r="AK37" s="513">
        <f>SUM(Y37:AJ37)</f>
        <v>223289.27999999601</v>
      </c>
      <c r="AL37" s="514">
        <f>SUM(Y37:AD37)</f>
        <v>223289.27999999601</v>
      </c>
      <c r="AM37" s="513">
        <f>SUM(AE37:AJ37)</f>
        <v>0</v>
      </c>
      <c r="AN37" s="514">
        <f>SUM(Y37:AA37)</f>
        <v>223289.27999999601</v>
      </c>
      <c r="AO37" s="512">
        <f>SUM(AB37:AD37)</f>
        <v>0</v>
      </c>
      <c r="AP37" s="512">
        <f>SUM(AE37:AG37)</f>
        <v>0</v>
      </c>
      <c r="AQ37" s="515">
        <f>SUM(AH37:AJ37)</f>
        <v>0</v>
      </c>
    </row>
    <row r="38" spans="1:43" s="494" customFormat="1" ht="30" x14ac:dyDescent="0.2">
      <c r="B38" s="343" t="s">
        <v>425</v>
      </c>
      <c r="C38" s="302">
        <v>5278377.8</v>
      </c>
      <c r="D38" s="302"/>
      <c r="E38" s="302"/>
      <c r="F38" s="302"/>
      <c r="G38" s="302"/>
      <c r="H38" s="302"/>
      <c r="I38" s="302"/>
      <c r="J38" s="302"/>
      <c r="K38" s="302"/>
      <c r="L38" s="302"/>
      <c r="M38" s="302"/>
      <c r="N38" s="302"/>
      <c r="O38" s="516">
        <f t="shared" si="33"/>
        <v>5278377.8</v>
      </c>
      <c r="P38" s="517">
        <f t="shared" si="34"/>
        <v>5278377.8</v>
      </c>
      <c r="Q38" s="516">
        <f t="shared" si="35"/>
        <v>0</v>
      </c>
      <c r="R38" s="517">
        <f t="shared" si="36"/>
        <v>5278377.8</v>
      </c>
      <c r="S38" s="518">
        <f t="shared" si="37"/>
        <v>0</v>
      </c>
      <c r="T38" s="518">
        <f t="shared" si="38"/>
        <v>0</v>
      </c>
      <c r="U38" s="519">
        <f t="shared" si="39"/>
        <v>0</v>
      </c>
      <c r="X38" s="343" t="s">
        <v>425</v>
      </c>
      <c r="Y38" s="302">
        <v>589586.12</v>
      </c>
      <c r="Z38" s="302"/>
      <c r="AA38" s="302"/>
      <c r="AB38" s="302"/>
      <c r="AC38" s="302"/>
      <c r="AD38" s="302"/>
      <c r="AE38" s="302"/>
      <c r="AF38" s="302"/>
      <c r="AG38" s="302"/>
      <c r="AH38" s="302"/>
      <c r="AI38" s="302"/>
      <c r="AJ38" s="302"/>
      <c r="AK38" s="516">
        <f>SUM(Y38:AJ38)</f>
        <v>589586.12</v>
      </c>
      <c r="AL38" s="517">
        <f>SUM(Y38:AD38)</f>
        <v>589586.12</v>
      </c>
      <c r="AM38" s="516">
        <f>SUM(AE38:AJ38)</f>
        <v>0</v>
      </c>
      <c r="AN38" s="517">
        <f>SUM(Y38:AA38)</f>
        <v>589586.12</v>
      </c>
      <c r="AO38" s="518">
        <f>SUM(AB38:AD38)</f>
        <v>0</v>
      </c>
      <c r="AP38" s="518">
        <f>SUM(AE38:AG38)</f>
        <v>0</v>
      </c>
      <c r="AQ38" s="519">
        <f>SUM(AH38:AJ38)</f>
        <v>0</v>
      </c>
    </row>
    <row r="39" spans="1:43" s="74" customFormat="1" ht="60" x14ac:dyDescent="0.2">
      <c r="B39" s="322" t="s">
        <v>426</v>
      </c>
      <c r="C39" s="511">
        <v>68484277.200000003</v>
      </c>
      <c r="D39" s="511"/>
      <c r="E39" s="511"/>
      <c r="F39" s="511"/>
      <c r="G39" s="511"/>
      <c r="H39" s="511"/>
      <c r="I39" s="511"/>
      <c r="J39" s="511"/>
      <c r="K39" s="511"/>
      <c r="L39" s="511"/>
      <c r="M39" s="511"/>
      <c r="N39" s="511"/>
      <c r="O39" s="520">
        <f t="shared" si="33"/>
        <v>68484277.200000003</v>
      </c>
      <c r="P39" s="521">
        <f t="shared" si="34"/>
        <v>68484277.200000003</v>
      </c>
      <c r="Q39" s="520">
        <f t="shared" si="35"/>
        <v>0</v>
      </c>
      <c r="R39" s="521">
        <f t="shared" si="36"/>
        <v>68484277.200000003</v>
      </c>
      <c r="S39" s="522">
        <f t="shared" si="37"/>
        <v>0</v>
      </c>
      <c r="T39" s="522">
        <f t="shared" si="38"/>
        <v>0</v>
      </c>
      <c r="U39" s="523">
        <f t="shared" si="39"/>
        <v>0</v>
      </c>
      <c r="X39" s="322" t="s">
        <v>426</v>
      </c>
      <c r="Y39" s="511">
        <v>18427957.5</v>
      </c>
      <c r="Z39" s="511"/>
      <c r="AA39" s="511"/>
      <c r="AB39" s="511"/>
      <c r="AC39" s="511"/>
      <c r="AD39" s="511"/>
      <c r="AE39" s="511"/>
      <c r="AF39" s="511"/>
      <c r="AG39" s="511"/>
      <c r="AH39" s="511"/>
      <c r="AI39" s="511"/>
      <c r="AJ39" s="511"/>
      <c r="AK39" s="520">
        <f>SUM(Y39:AJ39)</f>
        <v>18427957.5</v>
      </c>
      <c r="AL39" s="521">
        <f>SUM(Y39:AD39)</f>
        <v>18427957.5</v>
      </c>
      <c r="AM39" s="520">
        <f>SUM(AE39:AJ39)</f>
        <v>0</v>
      </c>
      <c r="AN39" s="521">
        <f>SUM(Y39:AA39)</f>
        <v>18427957.5</v>
      </c>
      <c r="AO39" s="522">
        <f>SUM(AB39:AD39)</f>
        <v>0</v>
      </c>
      <c r="AP39" s="522">
        <f>SUM(AE39:AG39)</f>
        <v>0</v>
      </c>
      <c r="AQ39" s="523">
        <f>SUM(AH39:AJ39)</f>
        <v>0</v>
      </c>
    </row>
    <row r="40" spans="1:43" s="494" customFormat="1" x14ac:dyDescent="0.2"/>
    <row r="41" spans="1:43" s="494" customFormat="1" x14ac:dyDescent="0.2"/>
    <row r="42" spans="1:43" s="494" customFormat="1" x14ac:dyDescent="0.2"/>
    <row r="44" spans="1:43" s="386" customFormat="1" ht="29.25" x14ac:dyDescent="0.2">
      <c r="B44" s="419" t="s">
        <v>420</v>
      </c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X44" s="419" t="s">
        <v>419</v>
      </c>
      <c r="Y44" s="381"/>
      <c r="Z44" s="380"/>
      <c r="AA44" s="380"/>
      <c r="AB44" s="380"/>
      <c r="AC44" s="380"/>
      <c r="AD44" s="380"/>
      <c r="AE44" s="381"/>
      <c r="AF44" s="381"/>
      <c r="AG44" s="380"/>
      <c r="AH44" s="380"/>
      <c r="AI44" s="380"/>
      <c r="AJ44" s="324"/>
      <c r="AK44" s="420"/>
      <c r="AL44" s="380"/>
      <c r="AM44" s="380"/>
      <c r="AN44" s="380"/>
      <c r="AO44" s="380"/>
      <c r="AP44" s="380"/>
      <c r="AQ44" s="380"/>
    </row>
    <row r="45" spans="1:43" s="1" customFormat="1" ht="16.5" x14ac:dyDescent="0.2">
      <c r="B45" s="403" t="s">
        <v>276</v>
      </c>
      <c r="C45" s="94" t="s">
        <v>92</v>
      </c>
      <c r="D45" s="94" t="s">
        <v>93</v>
      </c>
      <c r="E45" s="94" t="s">
        <v>61</v>
      </c>
      <c r="F45" s="94" t="s">
        <v>62</v>
      </c>
      <c r="G45" s="94" t="s">
        <v>63</v>
      </c>
      <c r="H45" s="94" t="s">
        <v>64</v>
      </c>
      <c r="I45" s="94" t="s">
        <v>65</v>
      </c>
      <c r="J45" s="94" t="s">
        <v>66</v>
      </c>
      <c r="K45" s="94" t="s">
        <v>67</v>
      </c>
      <c r="L45" s="94" t="s">
        <v>68</v>
      </c>
      <c r="M45" s="94" t="s">
        <v>69</v>
      </c>
      <c r="N45" s="94" t="s">
        <v>94</v>
      </c>
      <c r="O45" s="95" t="s">
        <v>277</v>
      </c>
      <c r="P45" s="404" t="s">
        <v>408</v>
      </c>
      <c r="Q45" s="95" t="s">
        <v>409</v>
      </c>
      <c r="R45" s="404" t="s">
        <v>333</v>
      </c>
      <c r="S45" s="94" t="s">
        <v>410</v>
      </c>
      <c r="T45" s="94" t="s">
        <v>411</v>
      </c>
      <c r="U45" s="405" t="s">
        <v>412</v>
      </c>
      <c r="X45" s="90" t="s">
        <v>325</v>
      </c>
      <c r="Y45" s="91" t="s">
        <v>92</v>
      </c>
      <c r="Z45" s="91" t="s">
        <v>93</v>
      </c>
      <c r="AA45" s="91" t="s">
        <v>61</v>
      </c>
      <c r="AB45" s="91" t="s">
        <v>62</v>
      </c>
      <c r="AC45" s="91" t="s">
        <v>63</v>
      </c>
      <c r="AD45" s="91" t="s">
        <v>64</v>
      </c>
      <c r="AE45" s="91" t="s">
        <v>65</v>
      </c>
      <c r="AF45" s="91" t="s">
        <v>66</v>
      </c>
      <c r="AG45" s="91" t="s">
        <v>67</v>
      </c>
      <c r="AH45" s="91" t="s">
        <v>68</v>
      </c>
      <c r="AI45" s="91" t="s">
        <v>69</v>
      </c>
      <c r="AJ45" s="91" t="s">
        <v>94</v>
      </c>
      <c r="AK45" s="92" t="s">
        <v>277</v>
      </c>
      <c r="AL45" s="285" t="s">
        <v>408</v>
      </c>
      <c r="AM45" s="92" t="s">
        <v>409</v>
      </c>
      <c r="AN45" s="285" t="s">
        <v>333</v>
      </c>
      <c r="AO45" s="91" t="s">
        <v>410</v>
      </c>
      <c r="AP45" s="91" t="s">
        <v>411</v>
      </c>
      <c r="AQ45" s="287" t="s">
        <v>412</v>
      </c>
    </row>
    <row r="46" spans="1:43" s="388" customFormat="1" ht="15" x14ac:dyDescent="0.2">
      <c r="B46" s="342" t="s">
        <v>326</v>
      </c>
      <c r="C46" s="355">
        <f>IFERROR(C29/C17,"")</f>
        <v>0.83286917927421777</v>
      </c>
      <c r="D46" s="355">
        <f t="shared" ref="D46:U46" si="41">IFERROR(D29/D17,"")</f>
        <v>0</v>
      </c>
      <c r="E46" s="355">
        <f t="shared" si="41"/>
        <v>0</v>
      </c>
      <c r="F46" s="355">
        <f t="shared" si="41"/>
        <v>0</v>
      </c>
      <c r="G46" s="355">
        <f t="shared" si="41"/>
        <v>0</v>
      </c>
      <c r="H46" s="355">
        <f t="shared" si="41"/>
        <v>0</v>
      </c>
      <c r="I46" s="355">
        <f t="shared" si="41"/>
        <v>0</v>
      </c>
      <c r="J46" s="355">
        <f t="shared" si="41"/>
        <v>0</v>
      </c>
      <c r="K46" s="355">
        <f t="shared" si="41"/>
        <v>0</v>
      </c>
      <c r="L46" s="355">
        <f t="shared" si="41"/>
        <v>0</v>
      </c>
      <c r="M46" s="355">
        <f t="shared" si="41"/>
        <v>0</v>
      </c>
      <c r="N46" s="355">
        <f t="shared" si="41"/>
        <v>0</v>
      </c>
      <c r="O46" s="356">
        <f t="shared" si="41"/>
        <v>8.668365493577504E-2</v>
      </c>
      <c r="P46" s="357">
        <f t="shared" si="41"/>
        <v>0.1695080036078381</v>
      </c>
      <c r="Q46" s="356">
        <f t="shared" si="41"/>
        <v>0</v>
      </c>
      <c r="R46" s="357">
        <f t="shared" si="41"/>
        <v>0.33000315791802465</v>
      </c>
      <c r="S46" s="355">
        <f t="shared" si="41"/>
        <v>0</v>
      </c>
      <c r="T46" s="355">
        <f t="shared" si="41"/>
        <v>0</v>
      </c>
      <c r="U46" s="358">
        <f t="shared" si="41"/>
        <v>0</v>
      </c>
      <c r="V46" s="389"/>
      <c r="W46" s="372"/>
      <c r="X46" s="342" t="s">
        <v>326</v>
      </c>
      <c r="Y46" s="355">
        <f t="shared" ref="Y46:AQ46" si="42">IFERROR(Y29/Y17,"")</f>
        <v>0.88212160364505632</v>
      </c>
      <c r="Z46" s="355">
        <f t="shared" si="42"/>
        <v>0</v>
      </c>
      <c r="AA46" s="355">
        <f t="shared" si="42"/>
        <v>0</v>
      </c>
      <c r="AB46" s="355">
        <f t="shared" si="42"/>
        <v>0</v>
      </c>
      <c r="AC46" s="355">
        <f t="shared" si="42"/>
        <v>0</v>
      </c>
      <c r="AD46" s="355">
        <f t="shared" si="42"/>
        <v>0</v>
      </c>
      <c r="AE46" s="355">
        <f t="shared" si="42"/>
        <v>0</v>
      </c>
      <c r="AF46" s="355">
        <f t="shared" si="42"/>
        <v>0</v>
      </c>
      <c r="AG46" s="355">
        <f t="shared" si="42"/>
        <v>0</v>
      </c>
      <c r="AH46" s="355">
        <f t="shared" si="42"/>
        <v>0</v>
      </c>
      <c r="AI46" s="355">
        <f t="shared" si="42"/>
        <v>0</v>
      </c>
      <c r="AJ46" s="355">
        <f t="shared" si="42"/>
        <v>0</v>
      </c>
      <c r="AK46" s="356">
        <f t="shared" si="42"/>
        <v>9.415484796201995E-2</v>
      </c>
      <c r="AL46" s="357">
        <f t="shared" si="42"/>
        <v>0.18350420734052245</v>
      </c>
      <c r="AM46" s="356">
        <f t="shared" si="42"/>
        <v>0</v>
      </c>
      <c r="AN46" s="357">
        <f t="shared" si="42"/>
        <v>0.35147070538039032</v>
      </c>
      <c r="AO46" s="355">
        <f t="shared" si="42"/>
        <v>0</v>
      </c>
      <c r="AP46" s="355">
        <f t="shared" si="42"/>
        <v>0</v>
      </c>
      <c r="AQ46" s="358">
        <f t="shared" si="42"/>
        <v>0</v>
      </c>
    </row>
    <row r="47" spans="1:43" s="1" customFormat="1" ht="75" x14ac:dyDescent="0.2">
      <c r="A47" s="370" t="s">
        <v>413</v>
      </c>
      <c r="B47" s="320" t="s">
        <v>327</v>
      </c>
      <c r="C47" s="359">
        <f t="shared" ref="C47:U47" si="43">IFERROR(C30/C18,"")</f>
        <v>0.81155840298335424</v>
      </c>
      <c r="D47" s="359">
        <f t="shared" si="43"/>
        <v>0</v>
      </c>
      <c r="E47" s="359">
        <f t="shared" si="43"/>
        <v>0</v>
      </c>
      <c r="F47" s="359">
        <f t="shared" si="43"/>
        <v>0</v>
      </c>
      <c r="G47" s="359">
        <f t="shared" si="43"/>
        <v>0</v>
      </c>
      <c r="H47" s="359">
        <f t="shared" si="43"/>
        <v>0</v>
      </c>
      <c r="I47" s="359">
        <f t="shared" si="43"/>
        <v>0</v>
      </c>
      <c r="J47" s="359">
        <f t="shared" si="43"/>
        <v>0</v>
      </c>
      <c r="K47" s="359">
        <f t="shared" si="43"/>
        <v>0</v>
      </c>
      <c r="L47" s="359">
        <f t="shared" si="43"/>
        <v>0</v>
      </c>
      <c r="M47" s="359">
        <f t="shared" si="43"/>
        <v>0</v>
      </c>
      <c r="N47" s="359">
        <f t="shared" si="43"/>
        <v>0</v>
      </c>
      <c r="O47" s="360">
        <f t="shared" si="43"/>
        <v>8.9248477976608578E-2</v>
      </c>
      <c r="P47" s="361">
        <f t="shared" si="43"/>
        <v>0.16933074108738772</v>
      </c>
      <c r="Q47" s="360">
        <f t="shared" si="43"/>
        <v>0</v>
      </c>
      <c r="R47" s="361">
        <f t="shared" si="43"/>
        <v>0.32193772278023519</v>
      </c>
      <c r="S47" s="359">
        <f t="shared" si="43"/>
        <v>0</v>
      </c>
      <c r="T47" s="359">
        <f t="shared" si="43"/>
        <v>0</v>
      </c>
      <c r="U47" s="362">
        <f t="shared" si="43"/>
        <v>0</v>
      </c>
      <c r="W47" s="370" t="s">
        <v>413</v>
      </c>
      <c r="X47" s="320" t="s">
        <v>327</v>
      </c>
      <c r="Y47" s="359">
        <f t="shared" ref="Y47:AQ47" si="44">IFERROR(Y30/Y18,"")</f>
        <v>0.85576383397312139</v>
      </c>
      <c r="Z47" s="359">
        <f t="shared" si="44"/>
        <v>0</v>
      </c>
      <c r="AA47" s="359">
        <f t="shared" si="44"/>
        <v>0</v>
      </c>
      <c r="AB47" s="359">
        <f t="shared" si="44"/>
        <v>0</v>
      </c>
      <c r="AC47" s="359">
        <f t="shared" si="44"/>
        <v>0</v>
      </c>
      <c r="AD47" s="359">
        <f t="shared" si="44"/>
        <v>0</v>
      </c>
      <c r="AE47" s="359">
        <f t="shared" si="44"/>
        <v>0</v>
      </c>
      <c r="AF47" s="359">
        <f t="shared" si="44"/>
        <v>0</v>
      </c>
      <c r="AG47" s="359">
        <f t="shared" si="44"/>
        <v>0</v>
      </c>
      <c r="AH47" s="359">
        <f t="shared" si="44"/>
        <v>0</v>
      </c>
      <c r="AI47" s="359">
        <f t="shared" si="44"/>
        <v>0</v>
      </c>
      <c r="AJ47" s="359">
        <f t="shared" si="44"/>
        <v>0</v>
      </c>
      <c r="AK47" s="360">
        <f t="shared" si="44"/>
        <v>9.4181624527117411E-2</v>
      </c>
      <c r="AL47" s="361">
        <f t="shared" si="44"/>
        <v>0.18037244150553247</v>
      </c>
      <c r="AM47" s="360">
        <f t="shared" si="44"/>
        <v>0</v>
      </c>
      <c r="AN47" s="361">
        <f t="shared" si="44"/>
        <v>0.33947899942544563</v>
      </c>
      <c r="AO47" s="359">
        <f t="shared" si="44"/>
        <v>0</v>
      </c>
      <c r="AP47" s="359">
        <f t="shared" si="44"/>
        <v>0</v>
      </c>
      <c r="AQ47" s="362">
        <f t="shared" si="44"/>
        <v>0</v>
      </c>
    </row>
    <row r="48" spans="1:43" s="1" customFormat="1" ht="30" x14ac:dyDescent="0.2">
      <c r="A48" s="370" t="s">
        <v>413</v>
      </c>
      <c r="B48" s="321" t="s">
        <v>328</v>
      </c>
      <c r="C48" s="363">
        <f t="shared" ref="C48:U48" si="45">IFERROR(C31/C19,"")</f>
        <v>0.80865073947895372</v>
      </c>
      <c r="D48" s="363">
        <f t="shared" si="45"/>
        <v>0</v>
      </c>
      <c r="E48" s="363">
        <f t="shared" si="45"/>
        <v>0</v>
      </c>
      <c r="F48" s="363">
        <f t="shared" si="45"/>
        <v>0</v>
      </c>
      <c r="G48" s="363">
        <f t="shared" si="45"/>
        <v>0</v>
      </c>
      <c r="H48" s="363">
        <f t="shared" si="45"/>
        <v>0</v>
      </c>
      <c r="I48" s="363">
        <f t="shared" si="45"/>
        <v>0</v>
      </c>
      <c r="J48" s="363">
        <f t="shared" si="45"/>
        <v>0</v>
      </c>
      <c r="K48" s="363">
        <f t="shared" si="45"/>
        <v>0</v>
      </c>
      <c r="L48" s="363">
        <f t="shared" si="45"/>
        <v>0</v>
      </c>
      <c r="M48" s="363">
        <f t="shared" si="45"/>
        <v>0</v>
      </c>
      <c r="N48" s="363">
        <f t="shared" si="45"/>
        <v>0</v>
      </c>
      <c r="O48" s="364">
        <f t="shared" si="45"/>
        <v>8.3805622091455201E-2</v>
      </c>
      <c r="P48" s="365">
        <f t="shared" si="45"/>
        <v>0.16945989761139837</v>
      </c>
      <c r="Q48" s="364">
        <f t="shared" si="45"/>
        <v>0</v>
      </c>
      <c r="R48" s="365">
        <f t="shared" si="45"/>
        <v>0.34656460263383732</v>
      </c>
      <c r="S48" s="363">
        <f t="shared" si="45"/>
        <v>0</v>
      </c>
      <c r="T48" s="363">
        <f t="shared" si="45"/>
        <v>0</v>
      </c>
      <c r="U48" s="366">
        <f t="shared" si="45"/>
        <v>0</v>
      </c>
      <c r="W48" s="370" t="s">
        <v>413</v>
      </c>
      <c r="X48" s="321" t="s">
        <v>328</v>
      </c>
      <c r="Y48" s="363">
        <f t="shared" ref="Y48:AQ48" si="46">IFERROR(Y31/Y19,"")</f>
        <v>1.018060350877193</v>
      </c>
      <c r="Z48" s="363">
        <f t="shared" si="46"/>
        <v>0</v>
      </c>
      <c r="AA48" s="363">
        <f t="shared" si="46"/>
        <v>0</v>
      </c>
      <c r="AB48" s="363">
        <f t="shared" si="46"/>
        <v>0</v>
      </c>
      <c r="AC48" s="363">
        <f t="shared" si="46"/>
        <v>0</v>
      </c>
      <c r="AD48" s="363">
        <f t="shared" si="46"/>
        <v>0</v>
      </c>
      <c r="AE48" s="363">
        <f t="shared" si="46"/>
        <v>0</v>
      </c>
      <c r="AF48" s="363">
        <f t="shared" si="46"/>
        <v>0</v>
      </c>
      <c r="AG48" s="363">
        <f t="shared" si="46"/>
        <v>0</v>
      </c>
      <c r="AH48" s="363">
        <f t="shared" si="46"/>
        <v>0</v>
      </c>
      <c r="AI48" s="363">
        <f t="shared" si="46"/>
        <v>0</v>
      </c>
      <c r="AJ48" s="363">
        <f t="shared" si="46"/>
        <v>0</v>
      </c>
      <c r="AK48" s="364">
        <f t="shared" si="46"/>
        <v>0.10550807272727272</v>
      </c>
      <c r="AL48" s="365">
        <f t="shared" si="46"/>
        <v>0.21334352941176471</v>
      </c>
      <c r="AM48" s="364">
        <f t="shared" si="46"/>
        <v>0</v>
      </c>
      <c r="AN48" s="365">
        <f t="shared" si="46"/>
        <v>0.43631157894736844</v>
      </c>
      <c r="AO48" s="363">
        <f t="shared" si="46"/>
        <v>0</v>
      </c>
      <c r="AP48" s="363">
        <f t="shared" si="46"/>
        <v>0</v>
      </c>
      <c r="AQ48" s="366">
        <f t="shared" si="46"/>
        <v>0</v>
      </c>
    </row>
    <row r="49" spans="1:43" s="1" customFormat="1" ht="16.5" x14ac:dyDescent="0.2">
      <c r="A49" s="370" t="s">
        <v>413</v>
      </c>
      <c r="B49" s="343" t="s">
        <v>285</v>
      </c>
      <c r="C49" s="316">
        <f t="shared" ref="C49:U49" si="47">IFERROR(C32/C20,"")</f>
        <v>1.1575328047125013</v>
      </c>
      <c r="D49" s="316">
        <f t="shared" si="47"/>
        <v>0</v>
      </c>
      <c r="E49" s="316">
        <f t="shared" si="47"/>
        <v>0</v>
      </c>
      <c r="F49" s="316">
        <f t="shared" si="47"/>
        <v>0</v>
      </c>
      <c r="G49" s="316">
        <f t="shared" si="47"/>
        <v>0</v>
      </c>
      <c r="H49" s="316">
        <f t="shared" si="47"/>
        <v>0</v>
      </c>
      <c r="I49" s="316">
        <f t="shared" si="47"/>
        <v>0</v>
      </c>
      <c r="J49" s="316">
        <f t="shared" si="47"/>
        <v>0</v>
      </c>
      <c r="K49" s="316">
        <f t="shared" si="47"/>
        <v>0</v>
      </c>
      <c r="L49" s="316">
        <f t="shared" si="47"/>
        <v>0</v>
      </c>
      <c r="M49" s="316">
        <f t="shared" si="47"/>
        <v>0</v>
      </c>
      <c r="N49" s="316">
        <f t="shared" si="47"/>
        <v>0</v>
      </c>
      <c r="O49" s="367">
        <f t="shared" si="47"/>
        <v>7.2095736378208625E-2</v>
      </c>
      <c r="P49" s="368">
        <f t="shared" si="47"/>
        <v>0.17117923216619624</v>
      </c>
      <c r="Q49" s="367">
        <f t="shared" si="47"/>
        <v>0</v>
      </c>
      <c r="R49" s="368">
        <f t="shared" si="47"/>
        <v>0.38758785179727179</v>
      </c>
      <c r="S49" s="316">
        <f t="shared" si="47"/>
        <v>0</v>
      </c>
      <c r="T49" s="316">
        <f t="shared" si="47"/>
        <v>0</v>
      </c>
      <c r="U49" s="369">
        <f t="shared" si="47"/>
        <v>0</v>
      </c>
      <c r="W49" s="370" t="s">
        <v>413</v>
      </c>
      <c r="X49" s="343" t="s">
        <v>285</v>
      </c>
      <c r="Y49" s="316">
        <f t="shared" ref="Y49:AQ49" si="48">IFERROR(Y32/Y20,"")</f>
        <v>1.0488714838709625</v>
      </c>
      <c r="Z49" s="316">
        <f t="shared" si="48"/>
        <v>0</v>
      </c>
      <c r="AA49" s="316">
        <f t="shared" si="48"/>
        <v>0</v>
      </c>
      <c r="AB49" s="316">
        <f t="shared" si="48"/>
        <v>0</v>
      </c>
      <c r="AC49" s="316">
        <f t="shared" si="48"/>
        <v>0</v>
      </c>
      <c r="AD49" s="316">
        <f t="shared" si="48"/>
        <v>0</v>
      </c>
      <c r="AE49" s="316">
        <f t="shared" si="48"/>
        <v>0</v>
      </c>
      <c r="AF49" s="316">
        <f t="shared" si="48"/>
        <v>0</v>
      </c>
      <c r="AG49" s="316">
        <f t="shared" si="48"/>
        <v>0</v>
      </c>
      <c r="AH49" s="316">
        <f t="shared" si="48"/>
        <v>0</v>
      </c>
      <c r="AI49" s="316">
        <f t="shared" si="48"/>
        <v>0</v>
      </c>
      <c r="AJ49" s="316">
        <f t="shared" si="48"/>
        <v>0</v>
      </c>
      <c r="AK49" s="367">
        <f t="shared" si="48"/>
        <v>6.7739616666666336E-2</v>
      </c>
      <c r="AL49" s="368">
        <f t="shared" si="48"/>
        <v>0.16083635663838305</v>
      </c>
      <c r="AM49" s="367">
        <f t="shared" si="48"/>
        <v>0</v>
      </c>
      <c r="AN49" s="368">
        <f t="shared" si="48"/>
        <v>0.36416928135211646</v>
      </c>
      <c r="AO49" s="316">
        <f t="shared" si="48"/>
        <v>0</v>
      </c>
      <c r="AP49" s="316">
        <f t="shared" si="48"/>
        <v>0</v>
      </c>
      <c r="AQ49" s="369">
        <f t="shared" si="48"/>
        <v>0</v>
      </c>
    </row>
    <row r="50" spans="1:43" s="74" customFormat="1" ht="75" x14ac:dyDescent="0.2">
      <c r="B50" s="320" t="s">
        <v>394</v>
      </c>
      <c r="C50" s="467">
        <f t="shared" ref="C50:U50" si="49">IFERROR(C33/C21,"")</f>
        <v>0.82426813354359041</v>
      </c>
      <c r="D50" s="467">
        <f t="shared" si="49"/>
        <v>0</v>
      </c>
      <c r="E50" s="467">
        <f t="shared" si="49"/>
        <v>0</v>
      </c>
      <c r="F50" s="467">
        <f t="shared" si="49"/>
        <v>0</v>
      </c>
      <c r="G50" s="467">
        <f t="shared" si="49"/>
        <v>0</v>
      </c>
      <c r="H50" s="467">
        <f t="shared" si="49"/>
        <v>0</v>
      </c>
      <c r="I50" s="467">
        <f t="shared" si="49"/>
        <v>0</v>
      </c>
      <c r="J50" s="467">
        <f t="shared" si="49"/>
        <v>0</v>
      </c>
      <c r="K50" s="467">
        <f t="shared" si="49"/>
        <v>0</v>
      </c>
      <c r="L50" s="467">
        <f t="shared" si="49"/>
        <v>0</v>
      </c>
      <c r="M50" s="467">
        <f t="shared" si="49"/>
        <v>0</v>
      </c>
      <c r="N50" s="467">
        <f t="shared" si="49"/>
        <v>0</v>
      </c>
      <c r="O50" s="468">
        <f t="shared" si="49"/>
        <v>8.7979752987619356E-2</v>
      </c>
      <c r="P50" s="469">
        <f t="shared" si="49"/>
        <v>0.17146918277134768</v>
      </c>
      <c r="Q50" s="468">
        <f t="shared" si="49"/>
        <v>0</v>
      </c>
      <c r="R50" s="469">
        <f t="shared" si="49"/>
        <v>0.32841968853504466</v>
      </c>
      <c r="S50" s="467">
        <f t="shared" si="49"/>
        <v>0</v>
      </c>
      <c r="T50" s="467">
        <f t="shared" si="49"/>
        <v>0</v>
      </c>
      <c r="U50" s="470">
        <f t="shared" si="49"/>
        <v>0</v>
      </c>
      <c r="X50" s="320" t="s">
        <v>394</v>
      </c>
      <c r="Y50" s="467">
        <f t="shared" ref="Y50:AQ50" si="50">IFERROR(Y33/Y21,"")</f>
        <v>0.88974133248615994</v>
      </c>
      <c r="Z50" s="467">
        <f t="shared" si="50"/>
        <v>0</v>
      </c>
      <c r="AA50" s="467">
        <f t="shared" si="50"/>
        <v>0</v>
      </c>
      <c r="AB50" s="467">
        <f t="shared" si="50"/>
        <v>0</v>
      </c>
      <c r="AC50" s="467">
        <f t="shared" si="50"/>
        <v>0</v>
      </c>
      <c r="AD50" s="467">
        <f t="shared" si="50"/>
        <v>0</v>
      </c>
      <c r="AE50" s="467">
        <f t="shared" si="50"/>
        <v>0</v>
      </c>
      <c r="AF50" s="467">
        <f t="shared" si="50"/>
        <v>0</v>
      </c>
      <c r="AG50" s="467">
        <f t="shared" si="50"/>
        <v>0</v>
      </c>
      <c r="AH50" s="467">
        <f t="shared" si="50"/>
        <v>0</v>
      </c>
      <c r="AI50" s="467">
        <f t="shared" si="50"/>
        <v>0</v>
      </c>
      <c r="AJ50" s="467">
        <f t="shared" si="50"/>
        <v>0</v>
      </c>
      <c r="AK50" s="468">
        <f t="shared" si="50"/>
        <v>9.4968153528487642E-2</v>
      </c>
      <c r="AL50" s="469">
        <f t="shared" si="50"/>
        <v>0.18508930886774802</v>
      </c>
      <c r="AM50" s="468">
        <f t="shared" si="50"/>
        <v>0</v>
      </c>
      <c r="AN50" s="469">
        <f t="shared" si="50"/>
        <v>0.35450669436368204</v>
      </c>
      <c r="AO50" s="467">
        <f t="shared" si="50"/>
        <v>0</v>
      </c>
      <c r="AP50" s="467">
        <f t="shared" si="50"/>
        <v>0</v>
      </c>
      <c r="AQ50" s="470">
        <f t="shared" si="50"/>
        <v>0</v>
      </c>
    </row>
    <row r="51" spans="1:43" s="74" customFormat="1" ht="45" x14ac:dyDescent="0.2">
      <c r="B51" s="343" t="s">
        <v>396</v>
      </c>
      <c r="C51" s="316">
        <f t="shared" ref="C51:U51" si="51">IFERROR(C34/C22,"")</f>
        <v>0.74759877381673856</v>
      </c>
      <c r="D51" s="316">
        <f t="shared" si="51"/>
        <v>0</v>
      </c>
      <c r="E51" s="316">
        <f t="shared" si="51"/>
        <v>0</v>
      </c>
      <c r="F51" s="316">
        <f t="shared" si="51"/>
        <v>0</v>
      </c>
      <c r="G51" s="316">
        <f t="shared" si="51"/>
        <v>0</v>
      </c>
      <c r="H51" s="316">
        <f t="shared" si="51"/>
        <v>0</v>
      </c>
      <c r="I51" s="316">
        <f t="shared" si="51"/>
        <v>0</v>
      </c>
      <c r="J51" s="316">
        <f t="shared" si="51"/>
        <v>0</v>
      </c>
      <c r="K51" s="316">
        <f t="shared" si="51"/>
        <v>0</v>
      </c>
      <c r="L51" s="316">
        <f t="shared" si="51"/>
        <v>0</v>
      </c>
      <c r="M51" s="316">
        <f t="shared" si="51"/>
        <v>0</v>
      </c>
      <c r="N51" s="316">
        <f t="shared" si="51"/>
        <v>0</v>
      </c>
      <c r="O51" s="471">
        <f t="shared" si="51"/>
        <v>6.7526219808971014E-2</v>
      </c>
      <c r="P51" s="472">
        <f t="shared" si="51"/>
        <v>0.13437047929577939</v>
      </c>
      <c r="Q51" s="471">
        <f t="shared" si="51"/>
        <v>0</v>
      </c>
      <c r="R51" s="472">
        <f t="shared" si="51"/>
        <v>0.2864865591957152</v>
      </c>
      <c r="S51" s="473">
        <f t="shared" si="51"/>
        <v>0</v>
      </c>
      <c r="T51" s="473">
        <f t="shared" si="51"/>
        <v>0</v>
      </c>
      <c r="U51" s="474">
        <f t="shared" si="51"/>
        <v>0</v>
      </c>
      <c r="X51" s="343" t="s">
        <v>396</v>
      </c>
      <c r="Y51" s="316">
        <f t="shared" ref="Y51:AQ51" si="52">IFERROR(Y34/Y22,"")</f>
        <v>0.71740896465539372</v>
      </c>
      <c r="Z51" s="316">
        <f t="shared" si="52"/>
        <v>0</v>
      </c>
      <c r="AA51" s="316">
        <f t="shared" si="52"/>
        <v>0</v>
      </c>
      <c r="AB51" s="316">
        <f t="shared" si="52"/>
        <v>0</v>
      </c>
      <c r="AC51" s="316">
        <f t="shared" si="52"/>
        <v>0</v>
      </c>
      <c r="AD51" s="316">
        <f t="shared" si="52"/>
        <v>0</v>
      </c>
      <c r="AE51" s="316">
        <f t="shared" si="52"/>
        <v>0</v>
      </c>
      <c r="AF51" s="316">
        <f t="shared" si="52"/>
        <v>0</v>
      </c>
      <c r="AG51" s="316">
        <f t="shared" si="52"/>
        <v>0</v>
      </c>
      <c r="AH51" s="316">
        <f t="shared" si="52"/>
        <v>0</v>
      </c>
      <c r="AI51" s="316">
        <f t="shared" si="52"/>
        <v>0</v>
      </c>
      <c r="AJ51" s="316">
        <f t="shared" si="52"/>
        <v>0</v>
      </c>
      <c r="AK51" s="471">
        <f t="shared" si="52"/>
        <v>7.6573945944189994E-2</v>
      </c>
      <c r="AL51" s="472">
        <f t="shared" si="52"/>
        <v>0.14923969989408012</v>
      </c>
      <c r="AM51" s="471">
        <f t="shared" si="52"/>
        <v>0</v>
      </c>
      <c r="AN51" s="472">
        <f t="shared" si="52"/>
        <v>0.28584294252825582</v>
      </c>
      <c r="AO51" s="473">
        <f t="shared" si="52"/>
        <v>0</v>
      </c>
      <c r="AP51" s="473">
        <f t="shared" si="52"/>
        <v>0</v>
      </c>
      <c r="AQ51" s="474">
        <f t="shared" si="52"/>
        <v>0</v>
      </c>
    </row>
    <row r="56" spans="1:43" s="386" customFormat="1" ht="29.25" x14ac:dyDescent="0.2">
      <c r="B56" s="419" t="s">
        <v>421</v>
      </c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X56" s="419" t="s">
        <v>422</v>
      </c>
      <c r="Y56" s="381"/>
      <c r="Z56" s="380"/>
      <c r="AA56" s="380"/>
      <c r="AB56" s="380"/>
      <c r="AC56" s="380"/>
      <c r="AD56" s="380"/>
      <c r="AE56" s="381"/>
      <c r="AF56" s="381"/>
      <c r="AG56" s="380"/>
      <c r="AH56" s="380"/>
      <c r="AI56" s="380"/>
      <c r="AJ56" s="324"/>
      <c r="AK56" s="420"/>
      <c r="AL56" s="380"/>
      <c r="AM56" s="380"/>
      <c r="AN56" s="380"/>
      <c r="AO56" s="380"/>
      <c r="AP56" s="380"/>
      <c r="AQ56" s="380"/>
    </row>
    <row r="57" spans="1:43" s="1" customFormat="1" ht="16.5" x14ac:dyDescent="0.2">
      <c r="B57" s="403" t="s">
        <v>276</v>
      </c>
      <c r="C57" s="94" t="s">
        <v>92</v>
      </c>
      <c r="D57" s="94" t="s">
        <v>93</v>
      </c>
      <c r="E57" s="94" t="s">
        <v>61</v>
      </c>
      <c r="F57" s="94" t="s">
        <v>62</v>
      </c>
      <c r="G57" s="94" t="s">
        <v>63</v>
      </c>
      <c r="H57" s="94" t="s">
        <v>64</v>
      </c>
      <c r="I57" s="94" t="s">
        <v>65</v>
      </c>
      <c r="J57" s="94" t="s">
        <v>66</v>
      </c>
      <c r="K57" s="94" t="s">
        <v>67</v>
      </c>
      <c r="L57" s="94" t="s">
        <v>68</v>
      </c>
      <c r="M57" s="94" t="s">
        <v>69</v>
      </c>
      <c r="N57" s="94" t="s">
        <v>94</v>
      </c>
      <c r="O57" s="95" t="s">
        <v>277</v>
      </c>
      <c r="P57" s="404" t="s">
        <v>408</v>
      </c>
      <c r="Q57" s="95" t="s">
        <v>409</v>
      </c>
      <c r="R57" s="404" t="s">
        <v>333</v>
      </c>
      <c r="S57" s="94" t="s">
        <v>410</v>
      </c>
      <c r="T57" s="94" t="s">
        <v>411</v>
      </c>
      <c r="U57" s="405" t="s">
        <v>412</v>
      </c>
      <c r="X57" s="90" t="s">
        <v>325</v>
      </c>
      <c r="Y57" s="91" t="s">
        <v>92</v>
      </c>
      <c r="Z57" s="91" t="s">
        <v>93</v>
      </c>
      <c r="AA57" s="91" t="s">
        <v>61</v>
      </c>
      <c r="AB57" s="91" t="s">
        <v>62</v>
      </c>
      <c r="AC57" s="91" t="s">
        <v>63</v>
      </c>
      <c r="AD57" s="91" t="s">
        <v>64</v>
      </c>
      <c r="AE57" s="91" t="s">
        <v>65</v>
      </c>
      <c r="AF57" s="91" t="s">
        <v>66</v>
      </c>
      <c r="AG57" s="91" t="s">
        <v>67</v>
      </c>
      <c r="AH57" s="91" t="s">
        <v>68</v>
      </c>
      <c r="AI57" s="91" t="s">
        <v>69</v>
      </c>
      <c r="AJ57" s="91" t="s">
        <v>94</v>
      </c>
      <c r="AK57" s="92" t="s">
        <v>277</v>
      </c>
      <c r="AL57" s="285" t="s">
        <v>408</v>
      </c>
      <c r="AM57" s="92" t="s">
        <v>409</v>
      </c>
      <c r="AN57" s="285" t="s">
        <v>333</v>
      </c>
      <c r="AO57" s="91" t="s">
        <v>410</v>
      </c>
      <c r="AP57" s="91" t="s">
        <v>411</v>
      </c>
      <c r="AQ57" s="287" t="s">
        <v>412</v>
      </c>
    </row>
    <row r="58" spans="1:43" s="388" customFormat="1" ht="15" x14ac:dyDescent="0.2">
      <c r="B58" s="342" t="s">
        <v>326</v>
      </c>
      <c r="C58" s="355">
        <f>IFERROR(C29/C5-1,"")</f>
        <v>-0.25146591000821295</v>
      </c>
      <c r="D58" s="355">
        <f t="shared" ref="D58:U58" si="53">IFERROR(D29/D5-1,"")</f>
        <v>-1</v>
      </c>
      <c r="E58" s="355">
        <f t="shared" si="53"/>
        <v>-1</v>
      </c>
      <c r="F58" s="355">
        <f t="shared" si="53"/>
        <v>-1</v>
      </c>
      <c r="G58" s="355">
        <f t="shared" si="53"/>
        <v>-1</v>
      </c>
      <c r="H58" s="355">
        <f t="shared" si="53"/>
        <v>-1</v>
      </c>
      <c r="I58" s="355">
        <f t="shared" si="53"/>
        <v>-1</v>
      </c>
      <c r="J58" s="355">
        <f t="shared" si="53"/>
        <v>-1</v>
      </c>
      <c r="K58" s="355">
        <f t="shared" si="53"/>
        <v>-1</v>
      </c>
      <c r="L58" s="355">
        <f t="shared" si="53"/>
        <v>-1</v>
      </c>
      <c r="M58" s="355">
        <f t="shared" si="53"/>
        <v>-1</v>
      </c>
      <c r="N58" s="355">
        <f t="shared" si="53"/>
        <v>-1</v>
      </c>
      <c r="O58" s="356">
        <f t="shared" si="53"/>
        <v>-0.92115919877083252</v>
      </c>
      <c r="P58" s="357">
        <f t="shared" si="53"/>
        <v>-0.84535663918523918</v>
      </c>
      <c r="Q58" s="356">
        <f t="shared" si="53"/>
        <v>-1</v>
      </c>
      <c r="R58" s="357">
        <f t="shared" si="53"/>
        <v>-0.70600097819594509</v>
      </c>
      <c r="S58" s="355">
        <f t="shared" si="53"/>
        <v>-1</v>
      </c>
      <c r="T58" s="355">
        <f t="shared" si="53"/>
        <v>-1</v>
      </c>
      <c r="U58" s="358">
        <f t="shared" si="53"/>
        <v>-1</v>
      </c>
      <c r="V58" s="389"/>
      <c r="W58" s="372"/>
      <c r="X58" s="342" t="s">
        <v>326</v>
      </c>
      <c r="Y58" s="355">
        <f t="shared" ref="Y58:AQ58" si="54">IFERROR(Y29/Y5-1,"")</f>
        <v>-0.21749923830735618</v>
      </c>
      <c r="Z58" s="355">
        <f t="shared" si="54"/>
        <v>-1</v>
      </c>
      <c r="AA58" s="355">
        <f t="shared" si="54"/>
        <v>-1</v>
      </c>
      <c r="AB58" s="355">
        <f t="shared" si="54"/>
        <v>-1</v>
      </c>
      <c r="AC58" s="355">
        <f t="shared" si="54"/>
        <v>-1</v>
      </c>
      <c r="AD58" s="355">
        <f t="shared" si="54"/>
        <v>-1</v>
      </c>
      <c r="AE58" s="355">
        <f t="shared" si="54"/>
        <v>-1</v>
      </c>
      <c r="AF58" s="355">
        <f t="shared" si="54"/>
        <v>-1</v>
      </c>
      <c r="AG58" s="355">
        <f t="shared" si="54"/>
        <v>-1</v>
      </c>
      <c r="AH58" s="355">
        <f t="shared" si="54"/>
        <v>-1</v>
      </c>
      <c r="AI58" s="355">
        <f t="shared" si="54"/>
        <v>-1</v>
      </c>
      <c r="AJ58" s="355">
        <f t="shared" si="54"/>
        <v>-1</v>
      </c>
      <c r="AK58" s="356">
        <f t="shared" si="54"/>
        <v>-0.91551833653591508</v>
      </c>
      <c r="AL58" s="357">
        <f t="shared" si="54"/>
        <v>-0.83617745566890611</v>
      </c>
      <c r="AM58" s="356">
        <f t="shared" si="54"/>
        <v>-1</v>
      </c>
      <c r="AN58" s="357">
        <f t="shared" si="54"/>
        <v>-0.69083842992434896</v>
      </c>
      <c r="AO58" s="355">
        <f t="shared" si="54"/>
        <v>-1</v>
      </c>
      <c r="AP58" s="355">
        <f t="shared" si="54"/>
        <v>-1</v>
      </c>
      <c r="AQ58" s="358">
        <f t="shared" si="54"/>
        <v>-1</v>
      </c>
    </row>
    <row r="59" spans="1:43" s="1" customFormat="1" ht="75" x14ac:dyDescent="0.2">
      <c r="A59" s="370" t="s">
        <v>413</v>
      </c>
      <c r="B59" s="320" t="s">
        <v>327</v>
      </c>
      <c r="C59" s="359">
        <f t="shared" ref="C59:U59" si="55">IFERROR(C30/C6-1,"")</f>
        <v>-0.31137397125689414</v>
      </c>
      <c r="D59" s="359">
        <f t="shared" si="55"/>
        <v>-1</v>
      </c>
      <c r="E59" s="359">
        <f t="shared" si="55"/>
        <v>-1</v>
      </c>
      <c r="F59" s="359">
        <f t="shared" si="55"/>
        <v>-1</v>
      </c>
      <c r="G59" s="359">
        <f t="shared" si="55"/>
        <v>-1</v>
      </c>
      <c r="H59" s="359">
        <f t="shared" si="55"/>
        <v>-1</v>
      </c>
      <c r="I59" s="359">
        <f t="shared" si="55"/>
        <v>-1</v>
      </c>
      <c r="J59" s="359">
        <f t="shared" si="55"/>
        <v>-1</v>
      </c>
      <c r="K59" s="359">
        <f t="shared" si="55"/>
        <v>-1</v>
      </c>
      <c r="L59" s="359">
        <f t="shared" si="55"/>
        <v>-1</v>
      </c>
      <c r="M59" s="359">
        <f t="shared" si="55"/>
        <v>-1</v>
      </c>
      <c r="N59" s="359">
        <f t="shared" si="55"/>
        <v>-1</v>
      </c>
      <c r="O59" s="360">
        <f t="shared" si="55"/>
        <v>-0.92424711773211687</v>
      </c>
      <c r="P59" s="361">
        <f t="shared" si="55"/>
        <v>-0.85631895948525238</v>
      </c>
      <c r="Q59" s="360">
        <f t="shared" si="55"/>
        <v>-1</v>
      </c>
      <c r="R59" s="361">
        <f t="shared" si="55"/>
        <v>-0.7268284146577928</v>
      </c>
      <c r="S59" s="359">
        <f t="shared" si="55"/>
        <v>-1</v>
      </c>
      <c r="T59" s="359">
        <f t="shared" si="55"/>
        <v>-1</v>
      </c>
      <c r="U59" s="362">
        <f t="shared" si="55"/>
        <v>-1</v>
      </c>
      <c r="W59" s="370" t="s">
        <v>413</v>
      </c>
      <c r="X59" s="320" t="s">
        <v>327</v>
      </c>
      <c r="Y59" s="359">
        <f t="shared" ref="Y59:AQ59" si="56">IFERROR(Y30/Y6-1,"")</f>
        <v>-0.27260074112284671</v>
      </c>
      <c r="Z59" s="359">
        <f t="shared" si="56"/>
        <v>-1</v>
      </c>
      <c r="AA59" s="359">
        <f t="shared" si="56"/>
        <v>-1</v>
      </c>
      <c r="AB59" s="359">
        <f t="shared" si="56"/>
        <v>-1</v>
      </c>
      <c r="AC59" s="359">
        <f t="shared" si="56"/>
        <v>-1</v>
      </c>
      <c r="AD59" s="359">
        <f t="shared" si="56"/>
        <v>-1</v>
      </c>
      <c r="AE59" s="359">
        <f t="shared" si="56"/>
        <v>-1</v>
      </c>
      <c r="AF59" s="359">
        <f t="shared" si="56"/>
        <v>-1</v>
      </c>
      <c r="AG59" s="359">
        <f t="shared" si="56"/>
        <v>-1</v>
      </c>
      <c r="AH59" s="359">
        <f t="shared" si="56"/>
        <v>-1</v>
      </c>
      <c r="AI59" s="359">
        <f t="shared" si="56"/>
        <v>-1</v>
      </c>
      <c r="AJ59" s="359">
        <f t="shared" si="56"/>
        <v>-1</v>
      </c>
      <c r="AK59" s="360">
        <f t="shared" si="56"/>
        <v>-0.91931561691762342</v>
      </c>
      <c r="AL59" s="361">
        <f t="shared" si="56"/>
        <v>-0.84506527500569517</v>
      </c>
      <c r="AM59" s="360">
        <f t="shared" si="56"/>
        <v>-1</v>
      </c>
      <c r="AN59" s="361">
        <f t="shared" si="56"/>
        <v>-0.70993935522502927</v>
      </c>
      <c r="AO59" s="359">
        <f t="shared" si="56"/>
        <v>-1</v>
      </c>
      <c r="AP59" s="359">
        <f t="shared" si="56"/>
        <v>-1</v>
      </c>
      <c r="AQ59" s="362">
        <f t="shared" si="56"/>
        <v>-1</v>
      </c>
    </row>
    <row r="60" spans="1:43" s="1" customFormat="1" ht="30" x14ac:dyDescent="0.2">
      <c r="A60" s="370" t="s">
        <v>413</v>
      </c>
      <c r="B60" s="321" t="s">
        <v>328</v>
      </c>
      <c r="C60" s="363">
        <f t="shared" ref="C60:U60" si="57">IFERROR(C31/C7-1,"")</f>
        <v>-5.5270687690621378E-2</v>
      </c>
      <c r="D60" s="363">
        <f t="shared" si="57"/>
        <v>-1</v>
      </c>
      <c r="E60" s="363">
        <f t="shared" si="57"/>
        <v>-1</v>
      </c>
      <c r="F60" s="363">
        <f t="shared" si="57"/>
        <v>-1</v>
      </c>
      <c r="G60" s="363">
        <f t="shared" si="57"/>
        <v>-1</v>
      </c>
      <c r="H60" s="363">
        <f t="shared" si="57"/>
        <v>-1</v>
      </c>
      <c r="I60" s="363">
        <f t="shared" si="57"/>
        <v>-1</v>
      </c>
      <c r="J60" s="363">
        <f t="shared" si="57"/>
        <v>-1</v>
      </c>
      <c r="K60" s="363">
        <f t="shared" si="57"/>
        <v>-1</v>
      </c>
      <c r="L60" s="363">
        <f t="shared" si="57"/>
        <v>-1</v>
      </c>
      <c r="M60" s="363">
        <f t="shared" si="57"/>
        <v>-1</v>
      </c>
      <c r="N60" s="363">
        <f t="shared" si="57"/>
        <v>-1</v>
      </c>
      <c r="O60" s="364">
        <f t="shared" si="57"/>
        <v>-0.91419225770176615</v>
      </c>
      <c r="P60" s="365">
        <f t="shared" si="57"/>
        <v>-0.80228692706370264</v>
      </c>
      <c r="Q60" s="364">
        <f t="shared" si="57"/>
        <v>-1</v>
      </c>
      <c r="R60" s="365">
        <f t="shared" si="57"/>
        <v>-0.62388273549522566</v>
      </c>
      <c r="S60" s="363">
        <f t="shared" si="57"/>
        <v>-1</v>
      </c>
      <c r="T60" s="363">
        <f t="shared" si="57"/>
        <v>-1</v>
      </c>
      <c r="U60" s="366">
        <f t="shared" si="57"/>
        <v>-1</v>
      </c>
      <c r="W60" s="370" t="s">
        <v>413</v>
      </c>
      <c r="X60" s="321" t="s">
        <v>328</v>
      </c>
      <c r="Y60" s="363">
        <f t="shared" ref="Y60:AQ60" si="58">IFERROR(Y31/Y7-1,"")</f>
        <v>0.13794318441736575</v>
      </c>
      <c r="Z60" s="363">
        <f t="shared" si="58"/>
        <v>-1</v>
      </c>
      <c r="AA60" s="363">
        <f t="shared" si="58"/>
        <v>-1</v>
      </c>
      <c r="AB60" s="363">
        <f t="shared" si="58"/>
        <v>-1</v>
      </c>
      <c r="AC60" s="363">
        <f t="shared" si="58"/>
        <v>-1</v>
      </c>
      <c r="AD60" s="363">
        <f t="shared" si="58"/>
        <v>-1</v>
      </c>
      <c r="AE60" s="363">
        <f t="shared" si="58"/>
        <v>-1</v>
      </c>
      <c r="AF60" s="363">
        <f t="shared" si="58"/>
        <v>-1</v>
      </c>
      <c r="AG60" s="363">
        <f t="shared" si="58"/>
        <v>-1</v>
      </c>
      <c r="AH60" s="363">
        <f t="shared" si="58"/>
        <v>-1</v>
      </c>
      <c r="AI60" s="363">
        <f t="shared" si="58"/>
        <v>-1</v>
      </c>
      <c r="AJ60" s="363">
        <f t="shared" si="58"/>
        <v>-1</v>
      </c>
      <c r="AK60" s="364">
        <f t="shared" si="58"/>
        <v>-0.8907831703699497</v>
      </c>
      <c r="AL60" s="365">
        <f t="shared" si="58"/>
        <v>-0.77940611737106724</v>
      </c>
      <c r="AM60" s="364">
        <f t="shared" si="58"/>
        <v>-1</v>
      </c>
      <c r="AN60" s="365">
        <f t="shared" si="58"/>
        <v>-0.55769463125583829</v>
      </c>
      <c r="AO60" s="363">
        <f t="shared" si="58"/>
        <v>-1</v>
      </c>
      <c r="AP60" s="363">
        <f t="shared" si="58"/>
        <v>-1</v>
      </c>
      <c r="AQ60" s="366">
        <f t="shared" si="58"/>
        <v>-1</v>
      </c>
    </row>
    <row r="61" spans="1:43" s="1" customFormat="1" ht="16.5" x14ac:dyDescent="0.2">
      <c r="A61" s="370" t="s">
        <v>413</v>
      </c>
      <c r="B61" s="343" t="s">
        <v>285</v>
      </c>
      <c r="C61" s="316">
        <f t="shared" ref="C61:U61" si="59">IFERROR(C32/C8-1,"")</f>
        <v>0.36314358067923425</v>
      </c>
      <c r="D61" s="316">
        <f t="shared" si="59"/>
        <v>-1</v>
      </c>
      <c r="E61" s="316">
        <f t="shared" si="59"/>
        <v>-1</v>
      </c>
      <c r="F61" s="316">
        <f t="shared" si="59"/>
        <v>-1</v>
      </c>
      <c r="G61" s="316">
        <f t="shared" si="59"/>
        <v>-1</v>
      </c>
      <c r="H61" s="316">
        <f t="shared" si="59"/>
        <v>-1</v>
      </c>
      <c r="I61" s="316">
        <f t="shared" si="59"/>
        <v>-1</v>
      </c>
      <c r="J61" s="316">
        <f t="shared" si="59"/>
        <v>-1</v>
      </c>
      <c r="K61" s="316">
        <f t="shared" si="59"/>
        <v>-1</v>
      </c>
      <c r="L61" s="316">
        <f t="shared" si="59"/>
        <v>-1</v>
      </c>
      <c r="M61" s="316">
        <f t="shared" si="59"/>
        <v>-1</v>
      </c>
      <c r="N61" s="316">
        <f t="shared" si="59"/>
        <v>-1</v>
      </c>
      <c r="O61" s="367">
        <f t="shared" si="59"/>
        <v>-0.89675379043885006</v>
      </c>
      <c r="P61" s="368">
        <f t="shared" si="59"/>
        <v>-0.76577670438320167</v>
      </c>
      <c r="Q61" s="367">
        <f t="shared" si="59"/>
        <v>-1</v>
      </c>
      <c r="R61" s="368">
        <f t="shared" si="59"/>
        <v>-0.55554310490103154</v>
      </c>
      <c r="S61" s="316">
        <f t="shared" si="59"/>
        <v>-1</v>
      </c>
      <c r="T61" s="316">
        <f t="shared" si="59"/>
        <v>-1</v>
      </c>
      <c r="U61" s="369">
        <f t="shared" si="59"/>
        <v>-1</v>
      </c>
      <c r="W61" s="370" t="s">
        <v>413</v>
      </c>
      <c r="X61" s="343" t="s">
        <v>285</v>
      </c>
      <c r="Y61" s="316">
        <f t="shared" ref="Y61:AQ61" si="60">IFERROR(Y32/Y8-1,"")</f>
        <v>0.41829091976008947</v>
      </c>
      <c r="Z61" s="316">
        <f t="shared" si="60"/>
        <v>-1</v>
      </c>
      <c r="AA61" s="316">
        <f t="shared" si="60"/>
        <v>-1</v>
      </c>
      <c r="AB61" s="316">
        <f t="shared" si="60"/>
        <v>-1</v>
      </c>
      <c r="AC61" s="316">
        <f t="shared" si="60"/>
        <v>-1</v>
      </c>
      <c r="AD61" s="316">
        <f t="shared" si="60"/>
        <v>-1</v>
      </c>
      <c r="AE61" s="316">
        <f t="shared" si="60"/>
        <v>-1</v>
      </c>
      <c r="AF61" s="316">
        <f t="shared" si="60"/>
        <v>-1</v>
      </c>
      <c r="AG61" s="316">
        <f t="shared" si="60"/>
        <v>-1</v>
      </c>
      <c r="AH61" s="316">
        <f t="shared" si="60"/>
        <v>-1</v>
      </c>
      <c r="AI61" s="316">
        <f t="shared" si="60"/>
        <v>-1</v>
      </c>
      <c r="AJ61" s="316">
        <f t="shared" si="60"/>
        <v>-1</v>
      </c>
      <c r="AK61" s="367">
        <f t="shared" si="60"/>
        <v>-0.89908933794315915</v>
      </c>
      <c r="AL61" s="368">
        <f t="shared" si="60"/>
        <v>-0.77706097914506544</v>
      </c>
      <c r="AM61" s="367">
        <f t="shared" si="60"/>
        <v>-1</v>
      </c>
      <c r="AN61" s="368">
        <f t="shared" si="60"/>
        <v>-0.56794632817862944</v>
      </c>
      <c r="AO61" s="316">
        <f t="shared" si="60"/>
        <v>-1</v>
      </c>
      <c r="AP61" s="316">
        <f t="shared" si="60"/>
        <v>-1</v>
      </c>
      <c r="AQ61" s="369">
        <f t="shared" si="60"/>
        <v>-1</v>
      </c>
    </row>
    <row r="62" spans="1:43" s="74" customFormat="1" ht="75" x14ac:dyDescent="0.2">
      <c r="B62" s="320" t="s">
        <v>394</v>
      </c>
      <c r="C62" s="467">
        <f t="shared" ref="C62:U62" si="61">IFERROR(C33/C9-1,"")</f>
        <v>-0.22935909204816995</v>
      </c>
      <c r="D62" s="467">
        <f t="shared" si="61"/>
        <v>-1</v>
      </c>
      <c r="E62" s="467">
        <f t="shared" si="61"/>
        <v>-1</v>
      </c>
      <c r="F62" s="467">
        <f t="shared" si="61"/>
        <v>-1</v>
      </c>
      <c r="G62" s="467">
        <f t="shared" si="61"/>
        <v>-1</v>
      </c>
      <c r="H62" s="467">
        <f t="shared" si="61"/>
        <v>-1</v>
      </c>
      <c r="I62" s="467">
        <f t="shared" si="61"/>
        <v>-1</v>
      </c>
      <c r="J62" s="467">
        <f t="shared" si="61"/>
        <v>-1</v>
      </c>
      <c r="K62" s="467">
        <f t="shared" si="61"/>
        <v>-1</v>
      </c>
      <c r="L62" s="467">
        <f t="shared" si="61"/>
        <v>-1</v>
      </c>
      <c r="M62" s="467">
        <f t="shared" si="61"/>
        <v>-1</v>
      </c>
      <c r="N62" s="467">
        <f t="shared" si="61"/>
        <v>-1</v>
      </c>
      <c r="O62" s="468">
        <f t="shared" si="61"/>
        <v>-0.91936637358090167</v>
      </c>
      <c r="P62" s="469">
        <f t="shared" si="61"/>
        <v>-0.8415786633754806</v>
      </c>
      <c r="Q62" s="468">
        <f t="shared" si="61"/>
        <v>-1</v>
      </c>
      <c r="R62" s="469">
        <f t="shared" si="61"/>
        <v>-0.70162496008215325</v>
      </c>
      <c r="S62" s="467">
        <f t="shared" si="61"/>
        <v>-1</v>
      </c>
      <c r="T62" s="467">
        <f t="shared" si="61"/>
        <v>-1</v>
      </c>
      <c r="U62" s="470">
        <f t="shared" si="61"/>
        <v>-1</v>
      </c>
      <c r="X62" s="320" t="s">
        <v>394</v>
      </c>
      <c r="Y62" s="467">
        <f t="shared" ref="Y62:AQ62" si="62">IFERROR(Y33/Y9-1,"")</f>
        <v>-0.19628001867974176</v>
      </c>
      <c r="Z62" s="467">
        <f t="shared" si="62"/>
        <v>-1</v>
      </c>
      <c r="AA62" s="467">
        <f t="shared" si="62"/>
        <v>-1</v>
      </c>
      <c r="AB62" s="467">
        <f t="shared" si="62"/>
        <v>-1</v>
      </c>
      <c r="AC62" s="467">
        <f t="shared" si="62"/>
        <v>-1</v>
      </c>
      <c r="AD62" s="467">
        <f t="shared" si="62"/>
        <v>-1</v>
      </c>
      <c r="AE62" s="467">
        <f t="shared" si="62"/>
        <v>-1</v>
      </c>
      <c r="AF62" s="467">
        <f t="shared" si="62"/>
        <v>-1</v>
      </c>
      <c r="AG62" s="467">
        <f t="shared" si="62"/>
        <v>-1</v>
      </c>
      <c r="AH62" s="467">
        <f t="shared" si="62"/>
        <v>-1</v>
      </c>
      <c r="AI62" s="467">
        <f t="shared" si="62"/>
        <v>-1</v>
      </c>
      <c r="AJ62" s="467">
        <f t="shared" si="62"/>
        <v>-1</v>
      </c>
      <c r="AK62" s="468">
        <f t="shared" si="62"/>
        <v>-0.91307210875207145</v>
      </c>
      <c r="AL62" s="469">
        <f t="shared" si="62"/>
        <v>-0.83236975587263551</v>
      </c>
      <c r="AM62" s="468">
        <f t="shared" si="62"/>
        <v>-1</v>
      </c>
      <c r="AN62" s="469">
        <f t="shared" si="62"/>
        <v>-0.6822465456056912</v>
      </c>
      <c r="AO62" s="467">
        <f t="shared" si="62"/>
        <v>-1</v>
      </c>
      <c r="AP62" s="467">
        <f t="shared" si="62"/>
        <v>-1</v>
      </c>
      <c r="AQ62" s="470">
        <f t="shared" si="62"/>
        <v>-1</v>
      </c>
    </row>
    <row r="63" spans="1:43" s="74" customFormat="1" ht="45" x14ac:dyDescent="0.2">
      <c r="B63" s="343" t="s">
        <v>396</v>
      </c>
      <c r="C63" s="316">
        <f t="shared" ref="C63:U63" si="63">IFERROR(C34/C10-1,"")</f>
        <v>-0.37857679510610509</v>
      </c>
      <c r="D63" s="316">
        <f t="shared" si="63"/>
        <v>-1</v>
      </c>
      <c r="E63" s="316">
        <f t="shared" si="63"/>
        <v>-1</v>
      </c>
      <c r="F63" s="316">
        <f t="shared" si="63"/>
        <v>-1</v>
      </c>
      <c r="G63" s="316">
        <f t="shared" si="63"/>
        <v>-1</v>
      </c>
      <c r="H63" s="316">
        <f t="shared" si="63"/>
        <v>-1</v>
      </c>
      <c r="I63" s="316">
        <f t="shared" si="63"/>
        <v>-1</v>
      </c>
      <c r="J63" s="316">
        <f t="shared" si="63"/>
        <v>-1</v>
      </c>
      <c r="K63" s="316">
        <f t="shared" si="63"/>
        <v>-1</v>
      </c>
      <c r="L63" s="316">
        <f t="shared" si="63"/>
        <v>-1</v>
      </c>
      <c r="M63" s="316">
        <f t="shared" si="63"/>
        <v>-1</v>
      </c>
      <c r="N63" s="316">
        <f t="shared" si="63"/>
        <v>-1</v>
      </c>
      <c r="O63" s="471">
        <f t="shared" si="63"/>
        <v>-0.9312379893794579</v>
      </c>
      <c r="P63" s="472">
        <f t="shared" si="63"/>
        <v>-0.86601855309084153</v>
      </c>
      <c r="Q63" s="471">
        <f t="shared" si="63"/>
        <v>-1</v>
      </c>
      <c r="R63" s="472">
        <f t="shared" si="63"/>
        <v>-0.73211813726500052</v>
      </c>
      <c r="S63" s="473">
        <f t="shared" si="63"/>
        <v>-1</v>
      </c>
      <c r="T63" s="473">
        <f t="shared" si="63"/>
        <v>-1</v>
      </c>
      <c r="U63" s="474">
        <f t="shared" si="63"/>
        <v>-1</v>
      </c>
      <c r="X63" s="343" t="s">
        <v>396</v>
      </c>
      <c r="Y63" s="316">
        <f t="shared" ref="Y63:AQ63" si="64">IFERROR(Y34/Y10-1,"")</f>
        <v>-0.39828924936181875</v>
      </c>
      <c r="Z63" s="316">
        <f t="shared" si="64"/>
        <v>-1</v>
      </c>
      <c r="AA63" s="316">
        <f t="shared" si="64"/>
        <v>-1</v>
      </c>
      <c r="AB63" s="316">
        <f t="shared" si="64"/>
        <v>-1</v>
      </c>
      <c r="AC63" s="316">
        <f t="shared" si="64"/>
        <v>-1</v>
      </c>
      <c r="AD63" s="316">
        <f t="shared" si="64"/>
        <v>-1</v>
      </c>
      <c r="AE63" s="316">
        <f t="shared" si="64"/>
        <v>-1</v>
      </c>
      <c r="AF63" s="316">
        <f t="shared" si="64"/>
        <v>-1</v>
      </c>
      <c r="AG63" s="316">
        <f t="shared" si="64"/>
        <v>-1</v>
      </c>
      <c r="AH63" s="316">
        <f t="shared" si="64"/>
        <v>-1</v>
      </c>
      <c r="AI63" s="316">
        <f t="shared" si="64"/>
        <v>-1</v>
      </c>
      <c r="AJ63" s="316">
        <f t="shared" si="64"/>
        <v>-1</v>
      </c>
      <c r="AK63" s="471">
        <f t="shared" si="64"/>
        <v>-0.93518347678889646</v>
      </c>
      <c r="AL63" s="472">
        <f t="shared" si="64"/>
        <v>-0.86795709151002975</v>
      </c>
      <c r="AM63" s="471">
        <f t="shared" si="64"/>
        <v>-1</v>
      </c>
      <c r="AN63" s="472">
        <f t="shared" si="64"/>
        <v>-0.76034026474163696</v>
      </c>
      <c r="AO63" s="473">
        <f t="shared" si="64"/>
        <v>-1</v>
      </c>
      <c r="AP63" s="473">
        <f t="shared" si="64"/>
        <v>-1</v>
      </c>
      <c r="AQ63" s="474">
        <f t="shared" si="64"/>
        <v>-1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786F-B14C-4531-A4AD-E754156B71F4}">
  <sheetPr>
    <tabColor rgb="FF00B0F0"/>
  </sheetPr>
  <dimension ref="A3:AQ34"/>
  <sheetViews>
    <sheetView showZeros="0" topLeftCell="S7" workbookViewId="0">
      <selection activeCell="AD14" sqref="AD14"/>
    </sheetView>
  </sheetViews>
  <sheetFormatPr defaultRowHeight="14.25" x14ac:dyDescent="0.2"/>
  <cols>
    <col min="1" max="1" width="9" style="524"/>
    <col min="2" max="2" width="17.25" style="524" customWidth="1"/>
    <col min="3" max="3" width="9.375" style="524" bestFit="1" customWidth="1"/>
    <col min="4" max="14" width="9" style="524"/>
    <col min="15" max="15" width="10.125" style="524" bestFit="1" customWidth="1"/>
    <col min="16" max="29" width="9" style="524"/>
    <col min="30" max="30" width="20.125" style="524" bestFit="1" customWidth="1"/>
    <col min="31" max="16384" width="9" style="524"/>
  </cols>
  <sheetData>
    <row r="3" spans="1:43" s="386" customFormat="1" ht="29.25" x14ac:dyDescent="0.2">
      <c r="B3" s="419" t="s">
        <v>414</v>
      </c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X3" s="419" t="s">
        <v>407</v>
      </c>
      <c r="Y3" s="381"/>
      <c r="Z3" s="380"/>
      <c r="AA3" s="380"/>
      <c r="AB3" s="380"/>
      <c r="AC3" s="380"/>
      <c r="AD3" s="380"/>
      <c r="AE3" s="381"/>
      <c r="AF3" s="381"/>
      <c r="AG3" s="380"/>
      <c r="AH3" s="380"/>
      <c r="AI3" s="380"/>
      <c r="AJ3"/>
      <c r="AK3" s="420"/>
      <c r="AL3" s="380"/>
      <c r="AM3" s="380"/>
      <c r="AN3" s="380"/>
      <c r="AO3" s="380"/>
      <c r="AP3" s="380"/>
      <c r="AQ3" s="380"/>
    </row>
    <row r="4" spans="1:43" s="1" customFormat="1" ht="16.5" x14ac:dyDescent="0.2">
      <c r="B4" s="403" t="s">
        <v>276</v>
      </c>
      <c r="C4" s="94" t="s">
        <v>92</v>
      </c>
      <c r="D4" s="94" t="s">
        <v>93</v>
      </c>
      <c r="E4" s="94" t="s">
        <v>61</v>
      </c>
      <c r="F4" s="94" t="s">
        <v>62</v>
      </c>
      <c r="G4" s="94" t="s">
        <v>63</v>
      </c>
      <c r="H4" s="94" t="s">
        <v>64</v>
      </c>
      <c r="I4" s="94" t="s">
        <v>65</v>
      </c>
      <c r="J4" s="94" t="s">
        <v>66</v>
      </c>
      <c r="K4" s="94" t="s">
        <v>67</v>
      </c>
      <c r="L4" s="94" t="s">
        <v>68</v>
      </c>
      <c r="M4" s="94" t="s">
        <v>69</v>
      </c>
      <c r="N4" s="94" t="s">
        <v>94</v>
      </c>
      <c r="O4" s="95" t="s">
        <v>277</v>
      </c>
      <c r="P4" s="404" t="s">
        <v>408</v>
      </c>
      <c r="Q4" s="95" t="s">
        <v>409</v>
      </c>
      <c r="R4" s="404" t="s">
        <v>333</v>
      </c>
      <c r="S4" s="94" t="s">
        <v>410</v>
      </c>
      <c r="T4" s="94" t="s">
        <v>411</v>
      </c>
      <c r="U4" s="405" t="s">
        <v>412</v>
      </c>
      <c r="X4" s="90" t="s">
        <v>325</v>
      </c>
      <c r="Y4" s="91" t="s">
        <v>92</v>
      </c>
      <c r="Z4" s="91" t="s">
        <v>93</v>
      </c>
      <c r="AA4" s="91" t="s">
        <v>61</v>
      </c>
      <c r="AB4" s="91" t="s">
        <v>62</v>
      </c>
      <c r="AC4" s="91" t="s">
        <v>63</v>
      </c>
      <c r="AD4" s="91" t="s">
        <v>64</v>
      </c>
      <c r="AE4" s="91" t="s">
        <v>65</v>
      </c>
      <c r="AF4" s="91" t="s">
        <v>66</v>
      </c>
      <c r="AG4" s="91" t="s">
        <v>67</v>
      </c>
      <c r="AH4" s="91" t="s">
        <v>68</v>
      </c>
      <c r="AI4" s="91" t="s">
        <v>69</v>
      </c>
      <c r="AJ4" s="91" t="s">
        <v>94</v>
      </c>
      <c r="AK4" s="92" t="s">
        <v>277</v>
      </c>
      <c r="AL4" s="285" t="s">
        <v>408</v>
      </c>
      <c r="AM4" s="92" t="s">
        <v>409</v>
      </c>
      <c r="AN4" s="285" t="s">
        <v>333</v>
      </c>
      <c r="AO4" s="91" t="s">
        <v>410</v>
      </c>
      <c r="AP4" s="91" t="s">
        <v>411</v>
      </c>
      <c r="AQ4" s="287" t="s">
        <v>412</v>
      </c>
    </row>
    <row r="5" spans="1:43" s="388" customFormat="1" ht="15" x14ac:dyDescent="0.2">
      <c r="B5" s="342" t="s">
        <v>326</v>
      </c>
      <c r="C5" s="351">
        <v>110222402.18999992</v>
      </c>
      <c r="D5" s="351">
        <v>83609413.390000388</v>
      </c>
      <c r="E5" s="351">
        <v>86799136.91000025</v>
      </c>
      <c r="F5" s="351">
        <v>86919720.890000284</v>
      </c>
      <c r="G5" s="351">
        <v>85535277.200000405</v>
      </c>
      <c r="H5" s="351">
        <v>80433400.560000464</v>
      </c>
      <c r="I5" s="351">
        <v>82719753.860000387</v>
      </c>
      <c r="J5" s="351">
        <v>76924778.290000454</v>
      </c>
      <c r="K5" s="351">
        <v>85138540.930000454</v>
      </c>
      <c r="L5" s="351">
        <v>92473955.380000398</v>
      </c>
      <c r="M5" s="351">
        <v>91194584.450000316</v>
      </c>
      <c r="N5" s="351">
        <v>84507816.399999991</v>
      </c>
      <c r="O5" s="352">
        <v>1046478780.4500036</v>
      </c>
      <c r="P5" s="353">
        <v>533519351.14000171</v>
      </c>
      <c r="Q5" s="352">
        <v>512959429.31000197</v>
      </c>
      <c r="R5" s="353">
        <v>280630952.49000055</v>
      </c>
      <c r="S5" s="351">
        <v>252888398.65000117</v>
      </c>
      <c r="T5" s="351">
        <v>244783073.08000129</v>
      </c>
      <c r="U5" s="354">
        <v>268176356.23000067</v>
      </c>
      <c r="V5" s="389"/>
      <c r="W5" s="372"/>
      <c r="X5" s="342" t="s">
        <v>326</v>
      </c>
      <c r="Y5" s="351">
        <v>26183689.379999995</v>
      </c>
      <c r="Z5" s="351">
        <v>18907275.77</v>
      </c>
      <c r="AA5" s="351">
        <v>21181039.092830185</v>
      </c>
      <c r="AB5" s="351">
        <v>20419942.996792451</v>
      </c>
      <c r="AC5" s="351">
        <v>19028404.050566036</v>
      </c>
      <c r="AD5" s="351">
        <v>19346421.219245281</v>
      </c>
      <c r="AE5" s="351">
        <v>18855792.086226411</v>
      </c>
      <c r="AF5" s="351">
        <v>17898504.081320755</v>
      </c>
      <c r="AG5" s="351">
        <v>18162052.84566037</v>
      </c>
      <c r="AH5" s="351">
        <v>17715842.924528297</v>
      </c>
      <c r="AI5" s="351">
        <v>21853010.981132079</v>
      </c>
      <c r="AJ5" s="351">
        <v>22971147.858490568</v>
      </c>
      <c r="AK5" s="352">
        <v>242523123.28679243</v>
      </c>
      <c r="AL5" s="353">
        <v>125066772.50943394</v>
      </c>
      <c r="AM5" s="352">
        <v>117456350.77735849</v>
      </c>
      <c r="AN5" s="353">
        <v>66272004.242830172</v>
      </c>
      <c r="AO5" s="351">
        <v>58794768.266603768</v>
      </c>
      <c r="AP5" s="351">
        <v>54916349.01320754</v>
      </c>
      <c r="AQ5" s="354">
        <v>62540001.764150947</v>
      </c>
    </row>
    <row r="6" spans="1:43" s="1" customFormat="1" ht="75" x14ac:dyDescent="0.2">
      <c r="A6" s="370" t="s">
        <v>413</v>
      </c>
      <c r="B6" s="320" t="s">
        <v>327</v>
      </c>
      <c r="C6" s="347">
        <v>93066095.129999995</v>
      </c>
      <c r="D6" s="347">
        <v>68875966.650000006</v>
      </c>
      <c r="E6" s="347">
        <v>72664093.980000004</v>
      </c>
      <c r="F6" s="347">
        <v>71559511.599999994</v>
      </c>
      <c r="G6" s="347">
        <v>73159841.680000007</v>
      </c>
      <c r="H6" s="347">
        <v>66716190.480000004</v>
      </c>
      <c r="I6" s="347">
        <v>67862809.829999998</v>
      </c>
      <c r="J6" s="347">
        <v>62344970.230000004</v>
      </c>
      <c r="K6" s="347">
        <v>65620600.760000005</v>
      </c>
      <c r="L6" s="347">
        <v>67768060.359999999</v>
      </c>
      <c r="M6" s="347">
        <v>68448763.140000001</v>
      </c>
      <c r="N6" s="347">
        <v>67923618.549999997</v>
      </c>
      <c r="O6" s="348">
        <v>846010522.38999999</v>
      </c>
      <c r="P6" s="349">
        <v>446041699.52000004</v>
      </c>
      <c r="Q6" s="348">
        <v>399968822.87</v>
      </c>
      <c r="R6" s="349">
        <v>234606155.75999999</v>
      </c>
      <c r="S6" s="347">
        <v>211435543.75999999</v>
      </c>
      <c r="T6" s="347">
        <v>195828380.81999999</v>
      </c>
      <c r="U6" s="350">
        <v>204140442.05000001</v>
      </c>
      <c r="W6" s="370" t="s">
        <v>413</v>
      </c>
      <c r="X6" s="320" t="s">
        <v>327</v>
      </c>
      <c r="Y6" s="347">
        <v>23060800.899999999</v>
      </c>
      <c r="Z6" s="347">
        <v>16413199.239999998</v>
      </c>
      <c r="AA6" s="347">
        <v>18356697.632830188</v>
      </c>
      <c r="AB6" s="347">
        <v>17233521.416792452</v>
      </c>
      <c r="AC6" s="347">
        <v>16710973.850566039</v>
      </c>
      <c r="AD6" s="347">
        <v>16492398.259245282</v>
      </c>
      <c r="AE6" s="347">
        <v>16251029.336226413</v>
      </c>
      <c r="AF6" s="347">
        <v>15186116.151320755</v>
      </c>
      <c r="AG6" s="347">
        <v>15548110.205660377</v>
      </c>
      <c r="AH6" s="347">
        <v>14978563.204528302</v>
      </c>
      <c r="AI6" s="347">
        <v>17678212.301132075</v>
      </c>
      <c r="AJ6" s="347">
        <v>19991942.128490567</v>
      </c>
      <c r="AK6" s="348">
        <v>207901564.62679246</v>
      </c>
      <c r="AL6" s="349">
        <v>108267591.29943396</v>
      </c>
      <c r="AM6" s="348">
        <v>99633973.327358484</v>
      </c>
      <c r="AN6" s="349">
        <v>57830697.772830188</v>
      </c>
      <c r="AO6" s="347">
        <v>50436893.526603773</v>
      </c>
      <c r="AP6" s="347">
        <v>46985255.693207547</v>
      </c>
      <c r="AQ6" s="350">
        <v>52648717.634150945</v>
      </c>
    </row>
    <row r="7" spans="1:43" s="1" customFormat="1" ht="30" x14ac:dyDescent="0.2">
      <c r="A7" s="370" t="s">
        <v>413</v>
      </c>
      <c r="B7" s="321" t="s">
        <v>328</v>
      </c>
      <c r="C7" s="338">
        <v>11875837.4</v>
      </c>
      <c r="D7" s="338">
        <v>9505244.5999999996</v>
      </c>
      <c r="E7" s="338">
        <v>8448582.2000000011</v>
      </c>
      <c r="F7" s="338">
        <v>10411125</v>
      </c>
      <c r="G7" s="338">
        <v>7751860</v>
      </c>
      <c r="H7" s="338">
        <v>8753480.5999999996</v>
      </c>
      <c r="I7" s="338">
        <v>9067021.2000000011</v>
      </c>
      <c r="J7" s="338">
        <v>7495744.7999999998</v>
      </c>
      <c r="K7" s="338">
        <v>13999987.799999999</v>
      </c>
      <c r="L7" s="338">
        <v>18029060</v>
      </c>
      <c r="M7" s="338">
        <v>16780506.699999999</v>
      </c>
      <c r="N7" s="338">
        <v>8632591.5</v>
      </c>
      <c r="O7" s="339">
        <v>130751041.80000001</v>
      </c>
      <c r="P7" s="340">
        <v>56746129.800000004</v>
      </c>
      <c r="Q7" s="339">
        <v>74004912</v>
      </c>
      <c r="R7" s="340">
        <v>29829664.200000003</v>
      </c>
      <c r="S7" s="338">
        <v>26916465.600000001</v>
      </c>
      <c r="T7" s="338">
        <v>30562753.799999997</v>
      </c>
      <c r="U7" s="341">
        <v>43442158.200000003</v>
      </c>
      <c r="W7" s="370" t="s">
        <v>413</v>
      </c>
      <c r="X7" s="321" t="s">
        <v>328</v>
      </c>
      <c r="Y7" s="338">
        <v>2549751.2000000002</v>
      </c>
      <c r="Z7" s="338">
        <v>1880081.8</v>
      </c>
      <c r="AA7" s="338">
        <v>2130051.1999999997</v>
      </c>
      <c r="AB7" s="338">
        <v>2615080.4</v>
      </c>
      <c r="AC7" s="338">
        <v>1752152.4000000001</v>
      </c>
      <c r="AD7" s="338">
        <v>2225886</v>
      </c>
      <c r="AE7" s="338">
        <v>1876419.1</v>
      </c>
      <c r="AF7" s="338">
        <v>1908652.7</v>
      </c>
      <c r="AG7" s="338">
        <v>2008057.5999999999</v>
      </c>
      <c r="AH7" s="338">
        <v>1945294.6</v>
      </c>
      <c r="AI7" s="338">
        <v>3494718</v>
      </c>
      <c r="AJ7" s="338">
        <v>2180017.1</v>
      </c>
      <c r="AK7" s="339">
        <v>26566162.100000005</v>
      </c>
      <c r="AL7" s="340">
        <v>13153003</v>
      </c>
      <c r="AM7" s="339">
        <v>13413159.1</v>
      </c>
      <c r="AN7" s="340">
        <v>6559884.1999999993</v>
      </c>
      <c r="AO7" s="338">
        <v>6593118.7999999998</v>
      </c>
      <c r="AP7" s="338">
        <v>5793129.3999999994</v>
      </c>
      <c r="AQ7" s="341">
        <v>7620029.6999999993</v>
      </c>
    </row>
    <row r="8" spans="1:43" s="1" customFormat="1" ht="16.5" x14ac:dyDescent="0.2">
      <c r="A8" s="370" t="s">
        <v>413</v>
      </c>
      <c r="B8" s="343" t="s">
        <v>285</v>
      </c>
      <c r="C8" s="302">
        <v>5280469.6599999201</v>
      </c>
      <c r="D8" s="302">
        <v>5228202.1400003899</v>
      </c>
      <c r="E8" s="302">
        <v>5686460.73000025</v>
      </c>
      <c r="F8" s="302">
        <v>4949084.2900002804</v>
      </c>
      <c r="G8" s="302">
        <v>4623575.5200004093</v>
      </c>
      <c r="H8" s="302">
        <v>4963729.4800004596</v>
      </c>
      <c r="I8" s="302">
        <v>5789922.8300003801</v>
      </c>
      <c r="J8" s="302">
        <v>7084063.2600004496</v>
      </c>
      <c r="K8" s="302">
        <v>5517952.3700004602</v>
      </c>
      <c r="L8" s="302">
        <v>6676835.0200004</v>
      </c>
      <c r="M8" s="302">
        <v>5965314.6100003198</v>
      </c>
      <c r="N8" s="302">
        <v>7951606.3499999996</v>
      </c>
      <c r="O8" s="344">
        <v>69717216.260003716</v>
      </c>
      <c r="P8" s="345">
        <v>30731521.82000171</v>
      </c>
      <c r="Q8" s="344">
        <v>38985694.440002009</v>
      </c>
      <c r="R8" s="345">
        <v>16195132.53000056</v>
      </c>
      <c r="S8" s="302">
        <v>14536389.29000115</v>
      </c>
      <c r="T8" s="302">
        <v>18391938.46000129</v>
      </c>
      <c r="U8" s="346">
        <v>20593755.980000719</v>
      </c>
      <c r="W8" s="370" t="s">
        <v>413</v>
      </c>
      <c r="X8" s="343" t="s">
        <v>285</v>
      </c>
      <c r="Y8" s="302">
        <v>573137.28</v>
      </c>
      <c r="Z8" s="302">
        <v>613994.72999999905</v>
      </c>
      <c r="AA8" s="302">
        <v>694290.25999999605</v>
      </c>
      <c r="AB8" s="302">
        <v>571341.17999999807</v>
      </c>
      <c r="AC8" s="302">
        <v>565277.799999999</v>
      </c>
      <c r="AD8" s="302">
        <v>628136.95999999903</v>
      </c>
      <c r="AE8" s="302">
        <v>728343.64999999595</v>
      </c>
      <c r="AF8" s="302">
        <v>803735.22999999893</v>
      </c>
      <c r="AG8" s="302">
        <v>605885.03999999398</v>
      </c>
      <c r="AH8" s="302">
        <v>791985.11999999697</v>
      </c>
      <c r="AI8" s="302">
        <v>680080.68000000203</v>
      </c>
      <c r="AJ8" s="302">
        <v>799188.63</v>
      </c>
      <c r="AK8" s="344">
        <v>8055396.5599999791</v>
      </c>
      <c r="AL8" s="345">
        <v>3646178.2099999911</v>
      </c>
      <c r="AM8" s="344">
        <v>4409218.3499999875</v>
      </c>
      <c r="AN8" s="345">
        <v>1881422.2699999951</v>
      </c>
      <c r="AO8" s="302">
        <v>1764755.9399999962</v>
      </c>
      <c r="AP8" s="302">
        <v>2137963.9199999887</v>
      </c>
      <c r="AQ8" s="346">
        <v>2271254.4299999988</v>
      </c>
    </row>
    <row r="9" spans="1:43" s="74" customFormat="1" ht="75" x14ac:dyDescent="0.2">
      <c r="B9" s="320" t="s">
        <v>394</v>
      </c>
      <c r="C9" s="458">
        <v>91060795.599999994</v>
      </c>
      <c r="D9" s="458">
        <v>71242893.299999997</v>
      </c>
      <c r="E9" s="458">
        <v>72887479.299999997</v>
      </c>
      <c r="F9" s="458">
        <v>72173433</v>
      </c>
      <c r="G9" s="458">
        <v>69886465.700000003</v>
      </c>
      <c r="H9" s="458">
        <v>65714354.899999999</v>
      </c>
      <c r="I9" s="458">
        <v>68868779.900000006</v>
      </c>
      <c r="J9" s="458">
        <v>65116613.600000001</v>
      </c>
      <c r="K9" s="458">
        <v>71528972</v>
      </c>
      <c r="L9" s="458">
        <v>79916867.200000003</v>
      </c>
      <c r="M9" s="458">
        <v>73733515.700000003</v>
      </c>
      <c r="N9" s="458">
        <v>68166470.5</v>
      </c>
      <c r="O9" s="459">
        <v>870296640.70000005</v>
      </c>
      <c r="P9" s="460">
        <v>442965421.79999995</v>
      </c>
      <c r="Q9" s="459">
        <v>427331218.89999998</v>
      </c>
      <c r="R9" s="460">
        <v>235191168.19999999</v>
      </c>
      <c r="S9" s="458">
        <v>207774253.59999999</v>
      </c>
      <c r="T9" s="458">
        <v>205514365.5</v>
      </c>
      <c r="U9" s="461">
        <v>221816853.40000001</v>
      </c>
      <c r="X9" s="320" t="s">
        <v>394</v>
      </c>
      <c r="Y9" s="458">
        <v>23141348.399999999</v>
      </c>
      <c r="Z9" s="458">
        <v>16740906.5</v>
      </c>
      <c r="AA9" s="458">
        <v>18651063.452830188</v>
      </c>
      <c r="AB9" s="458">
        <v>18127099.886792451</v>
      </c>
      <c r="AC9" s="458">
        <v>17050641.590566039</v>
      </c>
      <c r="AD9" s="458">
        <v>17242450.979245283</v>
      </c>
      <c r="AE9" s="458">
        <v>17060421.996226415</v>
      </c>
      <c r="AF9" s="458">
        <v>16235447.161320755</v>
      </c>
      <c r="AG9" s="458">
        <v>16150201.905660378</v>
      </c>
      <c r="AH9" s="458">
        <v>15755886.724528303</v>
      </c>
      <c r="AI9" s="458">
        <v>19418912.281132076</v>
      </c>
      <c r="AJ9" s="458">
        <v>18386453.058490567</v>
      </c>
      <c r="AK9" s="459">
        <v>213960833.93679249</v>
      </c>
      <c r="AL9" s="460">
        <v>110953510.80943397</v>
      </c>
      <c r="AM9" s="459">
        <v>103007323.1273585</v>
      </c>
      <c r="AN9" s="460">
        <v>58533318.352830186</v>
      </c>
      <c r="AO9" s="458">
        <v>52420192.456603773</v>
      </c>
      <c r="AP9" s="458">
        <v>49446071.063207544</v>
      </c>
      <c r="AQ9" s="461">
        <v>53561252.064150944</v>
      </c>
    </row>
    <row r="10" spans="1:43" s="74" customFormat="1" ht="45" x14ac:dyDescent="0.2">
      <c r="B10" s="343" t="s">
        <v>396</v>
      </c>
      <c r="C10" s="302">
        <v>16752497.199999999</v>
      </c>
      <c r="D10" s="302">
        <v>10504729.699999999</v>
      </c>
      <c r="E10" s="302">
        <v>11604644.5</v>
      </c>
      <c r="F10" s="302">
        <v>12473110.699999999</v>
      </c>
      <c r="G10" s="302">
        <v>13588685</v>
      </c>
      <c r="H10" s="302">
        <v>12776572.300000001</v>
      </c>
      <c r="I10" s="302">
        <v>11834622.1</v>
      </c>
      <c r="J10" s="302">
        <v>9796971.8000000007</v>
      </c>
      <c r="K10" s="302">
        <v>11622004.6</v>
      </c>
      <c r="L10" s="302">
        <v>10625908.6</v>
      </c>
      <c r="M10" s="302">
        <v>15294616.300000001</v>
      </c>
      <c r="N10" s="302">
        <v>14523049.9</v>
      </c>
      <c r="O10" s="462">
        <v>151397412.69999999</v>
      </c>
      <c r="P10" s="463">
        <v>77700239.399999991</v>
      </c>
      <c r="Q10" s="462">
        <v>73697173.300000012</v>
      </c>
      <c r="R10" s="463">
        <v>38861871.399999999</v>
      </c>
      <c r="S10" s="464">
        <v>38838368</v>
      </c>
      <c r="T10" s="464">
        <v>33253598.5</v>
      </c>
      <c r="U10" s="465">
        <v>40443574.799999997</v>
      </c>
      <c r="X10" s="343" t="s">
        <v>396</v>
      </c>
      <c r="Y10" s="302">
        <v>2769275.6</v>
      </c>
      <c r="Z10" s="302">
        <v>1936495.7</v>
      </c>
      <c r="AA10" s="302">
        <v>2247014.9</v>
      </c>
      <c r="AB10" s="302">
        <v>2050038.4</v>
      </c>
      <c r="AC10" s="302">
        <v>1739691.9</v>
      </c>
      <c r="AD10" s="302">
        <v>1876888.2</v>
      </c>
      <c r="AE10" s="302">
        <v>1558920</v>
      </c>
      <c r="AF10" s="302">
        <v>1430264.5</v>
      </c>
      <c r="AG10" s="302">
        <v>1787154.4</v>
      </c>
      <c r="AH10" s="302">
        <v>1736339.4</v>
      </c>
      <c r="AI10" s="302">
        <v>2199376.9</v>
      </c>
      <c r="AJ10" s="302">
        <v>4376535.8</v>
      </c>
      <c r="AK10" s="462">
        <v>25707995.699999996</v>
      </c>
      <c r="AL10" s="463">
        <v>12619404.699999999</v>
      </c>
      <c r="AM10" s="462">
        <v>13088591</v>
      </c>
      <c r="AN10" s="463">
        <v>6952786.1999999993</v>
      </c>
      <c r="AO10" s="464">
        <v>5666618.5</v>
      </c>
      <c r="AP10" s="464">
        <v>4776338.9000000004</v>
      </c>
      <c r="AQ10" s="465">
        <v>8312252.0999999996</v>
      </c>
    </row>
    <row r="11" spans="1:43" x14ac:dyDescent="0.2">
      <c r="AJ11" s="61"/>
    </row>
    <row r="14" spans="1:43" x14ac:dyDescent="0.2">
      <c r="AD14" s="524">
        <f>57.6-52.5</f>
        <v>5.1000000000000014</v>
      </c>
    </row>
    <row r="15" spans="1:43" s="386" customFormat="1" ht="29.25" x14ac:dyDescent="0.2">
      <c r="B15" s="419" t="s">
        <v>427</v>
      </c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  <c r="X15" s="419" t="s">
        <v>428</v>
      </c>
      <c r="Y15" s="381"/>
      <c r="Z15" s="380"/>
      <c r="AA15" s="380"/>
      <c r="AB15" s="380"/>
      <c r="AC15" s="380"/>
      <c r="AD15" s="380">
        <f>AD21/30</f>
        <v>525230.07999612601</v>
      </c>
      <c r="AE15" s="381"/>
      <c r="AF15" s="381"/>
      <c r="AG15" s="380"/>
      <c r="AH15" s="380"/>
      <c r="AI15" s="380"/>
      <c r="AJ15"/>
      <c r="AK15" s="420"/>
      <c r="AL15" s="380"/>
      <c r="AM15" s="380"/>
      <c r="AN15" s="380"/>
      <c r="AO15" s="380"/>
      <c r="AP15" s="380"/>
      <c r="AQ15" s="380"/>
    </row>
    <row r="16" spans="1:43" s="1" customFormat="1" ht="16.5" x14ac:dyDescent="0.2">
      <c r="B16" s="403" t="s">
        <v>276</v>
      </c>
      <c r="C16" s="94" t="s">
        <v>92</v>
      </c>
      <c r="D16" s="94" t="s">
        <v>93</v>
      </c>
      <c r="E16" s="94" t="s">
        <v>61</v>
      </c>
      <c r="F16" s="94" t="s">
        <v>62</v>
      </c>
      <c r="G16" s="94" t="s">
        <v>63</v>
      </c>
      <c r="H16" s="94" t="s">
        <v>64</v>
      </c>
      <c r="I16" s="94" t="s">
        <v>65</v>
      </c>
      <c r="J16" s="94" t="s">
        <v>66</v>
      </c>
      <c r="K16" s="94" t="s">
        <v>67</v>
      </c>
      <c r="L16" s="94" t="s">
        <v>68</v>
      </c>
      <c r="M16" s="94" t="s">
        <v>69</v>
      </c>
      <c r="N16" s="94" t="s">
        <v>94</v>
      </c>
      <c r="O16" s="95" t="s">
        <v>277</v>
      </c>
      <c r="P16" s="404" t="s">
        <v>408</v>
      </c>
      <c r="Q16" s="95" t="s">
        <v>409</v>
      </c>
      <c r="R16" s="404" t="s">
        <v>333</v>
      </c>
      <c r="S16" s="94" t="s">
        <v>410</v>
      </c>
      <c r="T16" s="94" t="s">
        <v>411</v>
      </c>
      <c r="U16" s="405" t="s">
        <v>412</v>
      </c>
      <c r="X16" s="90" t="s">
        <v>325</v>
      </c>
      <c r="Y16" s="91" t="s">
        <v>92</v>
      </c>
      <c r="Z16" s="91" t="s">
        <v>93</v>
      </c>
      <c r="AA16" s="91" t="s">
        <v>61</v>
      </c>
      <c r="AB16" s="91" t="s">
        <v>62</v>
      </c>
      <c r="AC16" s="91" t="s">
        <v>63</v>
      </c>
      <c r="AD16" s="91" t="s">
        <v>64</v>
      </c>
      <c r="AE16" s="91" t="s">
        <v>65</v>
      </c>
      <c r="AF16" s="91" t="s">
        <v>66</v>
      </c>
      <c r="AG16" s="91" t="s">
        <v>67</v>
      </c>
      <c r="AH16" s="91" t="s">
        <v>68</v>
      </c>
      <c r="AI16" s="91" t="s">
        <v>69</v>
      </c>
      <c r="AJ16" s="91" t="s">
        <v>94</v>
      </c>
      <c r="AK16" s="92" t="s">
        <v>277</v>
      </c>
      <c r="AL16" s="285" t="s">
        <v>408</v>
      </c>
      <c r="AM16" s="92" t="s">
        <v>409</v>
      </c>
      <c r="AN16" s="285" t="s">
        <v>333</v>
      </c>
      <c r="AO16" s="91" t="s">
        <v>410</v>
      </c>
      <c r="AP16" s="91" t="s">
        <v>411</v>
      </c>
      <c r="AQ16" s="287" t="s">
        <v>412</v>
      </c>
    </row>
    <row r="17" spans="1:43" s="388" customFormat="1" ht="15" x14ac:dyDescent="0.2">
      <c r="B17" s="342" t="s">
        <v>326</v>
      </c>
      <c r="C17" s="351">
        <v>99061446.350911185</v>
      </c>
      <c r="D17" s="351">
        <v>71731575.67879197</v>
      </c>
      <c r="E17" s="351">
        <v>79220420.388612419</v>
      </c>
      <c r="F17" s="351">
        <v>81951907.515910432</v>
      </c>
      <c r="G17" s="351">
        <v>78847803.693944991</v>
      </c>
      <c r="H17" s="351">
        <v>75920356.081958622</v>
      </c>
      <c r="I17" s="351">
        <v>77009398.031348377</v>
      </c>
      <c r="J17" s="351">
        <v>73330394.769742459</v>
      </c>
      <c r="K17" s="351">
        <v>74938091.509468511</v>
      </c>
      <c r="L17" s="351">
        <v>77288871.132085502</v>
      </c>
      <c r="M17" s="351">
        <v>83121007.253965974</v>
      </c>
      <c r="N17" s="351">
        <v>79375529.206313863</v>
      </c>
      <c r="O17" s="352">
        <v>951796801.61305463</v>
      </c>
      <c r="P17" s="353">
        <v>486733509.71012962</v>
      </c>
      <c r="Q17" s="352">
        <v>465063291.90292466</v>
      </c>
      <c r="R17" s="353">
        <v>250013442.41831556</v>
      </c>
      <c r="S17" s="351">
        <v>236720067.29181406</v>
      </c>
      <c r="T17" s="351">
        <v>225277884.31055933</v>
      </c>
      <c r="U17" s="354">
        <v>239785407.59236532</v>
      </c>
      <c r="V17" s="389"/>
      <c r="W17" s="372"/>
      <c r="X17" s="342" t="s">
        <v>326</v>
      </c>
      <c r="Y17" s="351">
        <v>23226680.765000001</v>
      </c>
      <c r="Z17" s="351">
        <v>16184643.320878342</v>
      </c>
      <c r="AA17" s="351">
        <v>18883027.534689799</v>
      </c>
      <c r="AB17" s="351">
        <v>18605315.722396392</v>
      </c>
      <c r="AC17" s="351">
        <v>17245454.18193569</v>
      </c>
      <c r="AD17" s="351">
        <v>17507669.333204199</v>
      </c>
      <c r="AE17" s="351">
        <v>17209968.630219519</v>
      </c>
      <c r="AF17" s="351">
        <v>16413118.011994272</v>
      </c>
      <c r="AG17" s="351">
        <v>16708599.314886792</v>
      </c>
      <c r="AH17" s="351">
        <v>16115525.73188914</v>
      </c>
      <c r="AI17" s="351">
        <v>19654694.353094429</v>
      </c>
      <c r="AJ17" s="351">
        <v>19852333.722794421</v>
      </c>
      <c r="AK17" s="352">
        <v>217607030.62298301</v>
      </c>
      <c r="AL17" s="353">
        <v>111652790.85810442</v>
      </c>
      <c r="AM17" s="352">
        <v>105954239.76487857</v>
      </c>
      <c r="AN17" s="353">
        <v>58294351.620568141</v>
      </c>
      <c r="AO17" s="351">
        <v>53358439.237536281</v>
      </c>
      <c r="AP17" s="351">
        <v>50331685.957100585</v>
      </c>
      <c r="AQ17" s="354">
        <v>55622553.807777993</v>
      </c>
    </row>
    <row r="18" spans="1:43" s="1" customFormat="1" ht="75" x14ac:dyDescent="0.2">
      <c r="A18" s="370" t="s">
        <v>413</v>
      </c>
      <c r="B18" s="320" t="s">
        <v>327</v>
      </c>
      <c r="C18" s="347">
        <v>78968728.885571644</v>
      </c>
      <c r="D18" s="347">
        <v>58442846.769470386</v>
      </c>
      <c r="E18" s="347">
        <v>61657160.206484519</v>
      </c>
      <c r="F18" s="347">
        <v>60719896.572761029</v>
      </c>
      <c r="G18" s="347">
        <v>62077813.56754218</v>
      </c>
      <c r="H18" s="347">
        <v>56610226.860103719</v>
      </c>
      <c r="I18" s="347">
        <v>57583159.83272516</v>
      </c>
      <c r="J18" s="347">
        <v>52901145.627682924</v>
      </c>
      <c r="K18" s="347">
        <v>55680593.705863751</v>
      </c>
      <c r="L18" s="347">
        <v>57502762.721424527</v>
      </c>
      <c r="M18" s="347">
        <v>58008238.759199388</v>
      </c>
      <c r="N18" s="347">
        <v>57929537.83873836</v>
      </c>
      <c r="O18" s="348">
        <v>718082111.34756792</v>
      </c>
      <c r="P18" s="349">
        <v>378476672.86193347</v>
      </c>
      <c r="Q18" s="348">
        <v>339605438.48563415</v>
      </c>
      <c r="R18" s="349">
        <v>199068735.86152655</v>
      </c>
      <c r="S18" s="347">
        <v>179407937.00040692</v>
      </c>
      <c r="T18" s="347">
        <v>166164899.16627184</v>
      </c>
      <c r="U18" s="350">
        <v>173440539.31936228</v>
      </c>
      <c r="W18" s="370" t="s">
        <v>413</v>
      </c>
      <c r="X18" s="320" t="s">
        <v>327</v>
      </c>
      <c r="Y18" s="347">
        <v>19601680.765000001</v>
      </c>
      <c r="Z18" s="347">
        <v>13951219.353999998</v>
      </c>
      <c r="AA18" s="347">
        <v>15859315.39996757</v>
      </c>
      <c r="AB18" s="347">
        <v>14891717.959314026</v>
      </c>
      <c r="AC18" s="347">
        <v>14441552.009856788</v>
      </c>
      <c r="AD18" s="347">
        <v>14253252.810023846</v>
      </c>
      <c r="AE18" s="347">
        <v>14045317.537863031</v>
      </c>
      <c r="AF18" s="347">
        <v>13127912.719705531</v>
      </c>
      <c r="AG18" s="347">
        <v>13439764.515985955</v>
      </c>
      <c r="AH18" s="347">
        <v>12949109.342952287</v>
      </c>
      <c r="AI18" s="347">
        <v>15267217.710917965</v>
      </c>
      <c r="AJ18" s="347">
        <v>16278970.497396002</v>
      </c>
      <c r="AK18" s="348">
        <v>178107030.62298301</v>
      </c>
      <c r="AL18" s="349">
        <v>92998738.298162222</v>
      </c>
      <c r="AM18" s="348">
        <v>85108292.324820772</v>
      </c>
      <c r="AN18" s="349">
        <v>49412215.518967569</v>
      </c>
      <c r="AO18" s="347">
        <v>43586522.77919466</v>
      </c>
      <c r="AP18" s="347">
        <v>40612994.773554519</v>
      </c>
      <c r="AQ18" s="350">
        <v>44495297.551266253</v>
      </c>
    </row>
    <row r="19" spans="1:43" s="1" customFormat="1" ht="30" x14ac:dyDescent="0.2">
      <c r="A19" s="370" t="s">
        <v>413</v>
      </c>
      <c r="B19" s="321" t="s">
        <v>328</v>
      </c>
      <c r="C19" s="338">
        <v>13874286.082059536</v>
      </c>
      <c r="D19" s="338">
        <v>7789072.8881737748</v>
      </c>
      <c r="E19" s="338">
        <v>10709975.221238941</v>
      </c>
      <c r="F19" s="338">
        <v>13630877.554304106</v>
      </c>
      <c r="G19" s="338">
        <v>9249524.0547063556</v>
      </c>
      <c r="H19" s="338">
        <v>10953383.748994371</v>
      </c>
      <c r="I19" s="338">
        <v>9736341.1102172174</v>
      </c>
      <c r="J19" s="338">
        <v>9736341.1102172174</v>
      </c>
      <c r="K19" s="338">
        <v>11196792.276749801</v>
      </c>
      <c r="L19" s="338">
        <v>9249524.0547063556</v>
      </c>
      <c r="M19" s="338">
        <v>16064962.83185841</v>
      </c>
      <c r="N19" s="338">
        <v>11683609.332260663</v>
      </c>
      <c r="O19" s="339">
        <v>133874690.26548675</v>
      </c>
      <c r="P19" s="340">
        <v>66207119.549477085</v>
      </c>
      <c r="Q19" s="339">
        <v>67667570.716009662</v>
      </c>
      <c r="R19" s="340">
        <v>32373334.191472251</v>
      </c>
      <c r="S19" s="338">
        <v>33833785.358004831</v>
      </c>
      <c r="T19" s="338">
        <v>30669474.497184236</v>
      </c>
      <c r="U19" s="341">
        <v>36998096.21882543</v>
      </c>
      <c r="W19" s="370" t="s">
        <v>413</v>
      </c>
      <c r="X19" s="321" t="s">
        <v>328</v>
      </c>
      <c r="Y19" s="338">
        <v>2850000</v>
      </c>
      <c r="Z19" s="338">
        <v>1600000</v>
      </c>
      <c r="AA19" s="338">
        <v>2200000</v>
      </c>
      <c r="AB19" s="338">
        <v>2800000</v>
      </c>
      <c r="AC19" s="338">
        <v>1900000</v>
      </c>
      <c r="AD19" s="338">
        <v>2250000</v>
      </c>
      <c r="AE19" s="338">
        <v>2000000</v>
      </c>
      <c r="AF19" s="338">
        <v>2000000</v>
      </c>
      <c r="AG19" s="338">
        <v>2300000</v>
      </c>
      <c r="AH19" s="338">
        <v>1900000</v>
      </c>
      <c r="AI19" s="338">
        <v>3300000</v>
      </c>
      <c r="AJ19" s="338">
        <v>2400000</v>
      </c>
      <c r="AK19" s="339">
        <v>27500000</v>
      </c>
      <c r="AL19" s="340">
        <v>13600000</v>
      </c>
      <c r="AM19" s="339">
        <v>13900000</v>
      </c>
      <c r="AN19" s="340">
        <v>6650000</v>
      </c>
      <c r="AO19" s="338">
        <v>6950000</v>
      </c>
      <c r="AP19" s="338">
        <v>6300000</v>
      </c>
      <c r="AQ19" s="341">
        <v>7600000</v>
      </c>
    </row>
    <row r="20" spans="1:43" s="1" customFormat="1" ht="16.5" x14ac:dyDescent="0.2">
      <c r="A20" s="370" t="s">
        <v>413</v>
      </c>
      <c r="B20" s="343" t="s">
        <v>285</v>
      </c>
      <c r="C20" s="302">
        <v>6218431.3832800109</v>
      </c>
      <c r="D20" s="302">
        <v>5499656.0211478109</v>
      </c>
      <c r="E20" s="302">
        <v>6853284.9608889585</v>
      </c>
      <c r="F20" s="302">
        <v>7601133.3888452994</v>
      </c>
      <c r="G20" s="302">
        <v>7520466.071696463</v>
      </c>
      <c r="H20" s="302">
        <v>8356745.4728605291</v>
      </c>
      <c r="I20" s="302">
        <v>9689897.0884059891</v>
      </c>
      <c r="J20" s="302">
        <v>10692908.031842317</v>
      </c>
      <c r="K20" s="302">
        <v>8060705.5268549686</v>
      </c>
      <c r="L20" s="302">
        <v>10536584.355954612</v>
      </c>
      <c r="M20" s="302">
        <v>9047805.662908189</v>
      </c>
      <c r="N20" s="302">
        <v>9762382.0353148486</v>
      </c>
      <c r="O20" s="344">
        <v>99840000</v>
      </c>
      <c r="P20" s="345">
        <v>42049717.298719071</v>
      </c>
      <c r="Q20" s="344">
        <v>57790282.701280929</v>
      </c>
      <c r="R20" s="345">
        <v>18571372.365316782</v>
      </c>
      <c r="S20" s="302">
        <v>23478344.933402292</v>
      </c>
      <c r="T20" s="302">
        <v>28443510.647103276</v>
      </c>
      <c r="U20" s="346">
        <v>29346772.054177649</v>
      </c>
      <c r="W20" s="370" t="s">
        <v>413</v>
      </c>
      <c r="X20" s="343" t="s">
        <v>285</v>
      </c>
      <c r="Y20" s="302">
        <v>775000</v>
      </c>
      <c r="Z20" s="302">
        <v>633423.96687834384</v>
      </c>
      <c r="AA20" s="302">
        <v>823712.13472223061</v>
      </c>
      <c r="AB20" s="302">
        <v>913597.76308236772</v>
      </c>
      <c r="AC20" s="302">
        <v>903902.17207890179</v>
      </c>
      <c r="AD20" s="302">
        <v>1004416.5231803521</v>
      </c>
      <c r="AE20" s="302">
        <v>1164651.092356489</v>
      </c>
      <c r="AF20" s="302">
        <v>1285205.2922887402</v>
      </c>
      <c r="AG20" s="302">
        <v>968834.79890083754</v>
      </c>
      <c r="AH20" s="302">
        <v>1266416.3889368523</v>
      </c>
      <c r="AI20" s="302">
        <v>1087476.6421764651</v>
      </c>
      <c r="AJ20" s="302">
        <v>1173363.2253984194</v>
      </c>
      <c r="AK20" s="344">
        <v>12000000</v>
      </c>
      <c r="AL20" s="345">
        <v>5054052.5599421961</v>
      </c>
      <c r="AM20" s="344">
        <v>6945947.4400578039</v>
      </c>
      <c r="AN20" s="345">
        <v>2232136.1016005743</v>
      </c>
      <c r="AO20" s="302">
        <v>2821916.4583416218</v>
      </c>
      <c r="AP20" s="302">
        <v>3418691.1835460667</v>
      </c>
      <c r="AQ20" s="346">
        <v>3527256.2565117367</v>
      </c>
    </row>
    <row r="21" spans="1:43" s="74" customFormat="1" ht="75" x14ac:dyDescent="0.2">
      <c r="B21" s="320" t="s">
        <v>394</v>
      </c>
      <c r="C21" s="458">
        <v>85136342.585890919</v>
      </c>
      <c r="D21" s="458">
        <v>59324074.427074075</v>
      </c>
      <c r="E21" s="458">
        <v>69214879.108972073</v>
      </c>
      <c r="F21" s="458">
        <v>68196939.084274784</v>
      </c>
      <c r="G21" s="458">
        <v>63212428.419604272</v>
      </c>
      <c r="H21" s="458">
        <v>64173566.137708485</v>
      </c>
      <c r="I21" s="458">
        <v>63082357.74276828</v>
      </c>
      <c r="J21" s="458">
        <v>60161538.022146285</v>
      </c>
      <c r="K21" s="458">
        <v>61244611.30693049</v>
      </c>
      <c r="L21" s="458">
        <v>59070727.046342738</v>
      </c>
      <c r="M21" s="458">
        <v>72043388.756069764</v>
      </c>
      <c r="N21" s="458">
        <v>72767826.882097363</v>
      </c>
      <c r="O21" s="459">
        <v>797628679.51987958</v>
      </c>
      <c r="P21" s="460">
        <v>409258229.76352459</v>
      </c>
      <c r="Q21" s="459">
        <v>388370449.75635493</v>
      </c>
      <c r="R21" s="460">
        <v>213675296.12193707</v>
      </c>
      <c r="S21" s="458">
        <v>195582933.64158756</v>
      </c>
      <c r="T21" s="458">
        <v>184488507.07184505</v>
      </c>
      <c r="U21" s="461">
        <v>203881942.68450987</v>
      </c>
      <c r="X21" s="320" t="s">
        <v>394</v>
      </c>
      <c r="Y21" s="458">
        <v>20904012.688500002</v>
      </c>
      <c r="Z21" s="458">
        <v>14566178.988790508</v>
      </c>
      <c r="AA21" s="458">
        <v>16994724.78122082</v>
      </c>
      <c r="AB21" s="458">
        <v>16744784.150156753</v>
      </c>
      <c r="AC21" s="458">
        <v>15520908.763742121</v>
      </c>
      <c r="AD21" s="458">
        <v>15756902.399883779</v>
      </c>
      <c r="AE21" s="458">
        <v>15488971.767197568</v>
      </c>
      <c r="AF21" s="458">
        <v>14771806.210794846</v>
      </c>
      <c r="AG21" s="458">
        <v>15037739.383398112</v>
      </c>
      <c r="AH21" s="458">
        <v>14503973.158700226</v>
      </c>
      <c r="AI21" s="458">
        <v>17689224.917784985</v>
      </c>
      <c r="AJ21" s="458">
        <v>17867100.350514978</v>
      </c>
      <c r="AK21" s="459">
        <v>195846327.56068471</v>
      </c>
      <c r="AL21" s="460">
        <v>100487511.77229398</v>
      </c>
      <c r="AM21" s="459">
        <v>95358815.788390711</v>
      </c>
      <c r="AN21" s="460">
        <v>52464916.45851133</v>
      </c>
      <c r="AO21" s="458">
        <v>48022595.313782655</v>
      </c>
      <c r="AP21" s="458">
        <v>45298517.361390531</v>
      </c>
      <c r="AQ21" s="461">
        <v>50060298.427000195</v>
      </c>
    </row>
    <row r="22" spans="1:43" s="74" customFormat="1" ht="45" x14ac:dyDescent="0.2">
      <c r="B22" s="343" t="s">
        <v>396</v>
      </c>
      <c r="C22" s="302">
        <v>13925103.765020266</v>
      </c>
      <c r="D22" s="302">
        <v>12407501.251717895</v>
      </c>
      <c r="E22" s="302">
        <v>10005541.279640347</v>
      </c>
      <c r="F22" s="302">
        <v>13754968.431635648</v>
      </c>
      <c r="G22" s="302">
        <v>15635375.274340719</v>
      </c>
      <c r="H22" s="302">
        <v>11746789.944250137</v>
      </c>
      <c r="I22" s="302">
        <v>13927040.288580097</v>
      </c>
      <c r="J22" s="302">
        <v>13168856.747596174</v>
      </c>
      <c r="K22" s="302">
        <v>13693480.202538021</v>
      </c>
      <c r="L22" s="302">
        <v>18218144.085742764</v>
      </c>
      <c r="M22" s="302">
        <v>11077618.497896209</v>
      </c>
      <c r="N22" s="302">
        <v>6607702.3242164999</v>
      </c>
      <c r="O22" s="462">
        <v>154168122.09317476</v>
      </c>
      <c r="P22" s="463">
        <v>77475279.946605012</v>
      </c>
      <c r="Q22" s="462">
        <v>76692842.146569774</v>
      </c>
      <c r="R22" s="463">
        <v>36338146.296378508</v>
      </c>
      <c r="S22" s="464">
        <v>41137133.650226504</v>
      </c>
      <c r="T22" s="464">
        <v>40789377.238714293</v>
      </c>
      <c r="U22" s="465">
        <v>35903464.907855473</v>
      </c>
      <c r="X22" s="343" t="s">
        <v>396</v>
      </c>
      <c r="Y22" s="302">
        <v>2322668.0765</v>
      </c>
      <c r="Z22" s="302">
        <v>1618464.3320878344</v>
      </c>
      <c r="AA22" s="302">
        <v>1888302.7534689801</v>
      </c>
      <c r="AB22" s="302">
        <v>1860531.5722396392</v>
      </c>
      <c r="AC22" s="302">
        <v>1724545.4181935692</v>
      </c>
      <c r="AD22" s="302">
        <v>1750766.9333204199</v>
      </c>
      <c r="AE22" s="302">
        <v>1720996.8630219521</v>
      </c>
      <c r="AF22" s="302">
        <v>1641311.8011994273</v>
      </c>
      <c r="AG22" s="302">
        <v>1670859.9314886793</v>
      </c>
      <c r="AH22" s="302">
        <v>1611552.573188914</v>
      </c>
      <c r="AI22" s="302">
        <v>1965469.4353094429</v>
      </c>
      <c r="AJ22" s="302">
        <v>1985233.3722794421</v>
      </c>
      <c r="AK22" s="462">
        <v>21760703.062298302</v>
      </c>
      <c r="AL22" s="463">
        <v>11165279.085810443</v>
      </c>
      <c r="AM22" s="462">
        <v>10595423.976487858</v>
      </c>
      <c r="AN22" s="463">
        <v>5829435.1620568149</v>
      </c>
      <c r="AO22" s="464">
        <v>5335843.9237536285</v>
      </c>
      <c r="AP22" s="464">
        <v>5033168.5957100587</v>
      </c>
      <c r="AQ22" s="465">
        <v>5562255.3807777995</v>
      </c>
    </row>
    <row r="27" spans="1:43" s="386" customFormat="1" ht="29.25" x14ac:dyDescent="0.2">
      <c r="B27" s="419" t="s">
        <v>429</v>
      </c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0"/>
      <c r="U27" s="380"/>
      <c r="X27" s="419" t="s">
        <v>430</v>
      </c>
      <c r="Y27" s="381"/>
      <c r="Z27" s="380"/>
      <c r="AA27" s="380"/>
      <c r="AB27" s="380"/>
      <c r="AC27" s="380"/>
      <c r="AD27" s="380"/>
      <c r="AE27" s="381"/>
      <c r="AF27" s="381"/>
      <c r="AG27" s="380"/>
      <c r="AH27" s="380"/>
      <c r="AI27" s="380"/>
      <c r="AJ27"/>
      <c r="AK27" s="420"/>
      <c r="AL27" s="380"/>
      <c r="AM27" s="380"/>
      <c r="AN27" s="380"/>
      <c r="AO27" s="380"/>
      <c r="AP27" s="380"/>
      <c r="AQ27" s="380"/>
    </row>
    <row r="28" spans="1:43" s="1" customFormat="1" ht="16.5" x14ac:dyDescent="0.2">
      <c r="B28" s="403" t="s">
        <v>276</v>
      </c>
      <c r="C28" s="94" t="s">
        <v>92</v>
      </c>
      <c r="D28" s="94" t="s">
        <v>93</v>
      </c>
      <c r="E28" s="94" t="s">
        <v>61</v>
      </c>
      <c r="F28" s="94" t="s">
        <v>62</v>
      </c>
      <c r="G28" s="94" t="s">
        <v>63</v>
      </c>
      <c r="H28" s="94" t="s">
        <v>64</v>
      </c>
      <c r="I28" s="94" t="s">
        <v>65</v>
      </c>
      <c r="J28" s="94" t="s">
        <v>66</v>
      </c>
      <c r="K28" s="94" t="s">
        <v>67</v>
      </c>
      <c r="L28" s="94" t="s">
        <v>68</v>
      </c>
      <c r="M28" s="94" t="s">
        <v>69</v>
      </c>
      <c r="N28" s="94" t="s">
        <v>94</v>
      </c>
      <c r="O28" s="95" t="s">
        <v>277</v>
      </c>
      <c r="P28" s="404" t="s">
        <v>408</v>
      </c>
      <c r="Q28" s="95" t="s">
        <v>409</v>
      </c>
      <c r="R28" s="404" t="s">
        <v>333</v>
      </c>
      <c r="S28" s="94" t="s">
        <v>410</v>
      </c>
      <c r="T28" s="94" t="s">
        <v>411</v>
      </c>
      <c r="U28" s="405" t="s">
        <v>412</v>
      </c>
      <c r="X28" s="90" t="s">
        <v>325</v>
      </c>
      <c r="Y28" s="91" t="s">
        <v>92</v>
      </c>
      <c r="Z28" s="91" t="s">
        <v>93</v>
      </c>
      <c r="AA28" s="91" t="s">
        <v>61</v>
      </c>
      <c r="AB28" s="91" t="s">
        <v>62</v>
      </c>
      <c r="AC28" s="91" t="s">
        <v>63</v>
      </c>
      <c r="AD28" s="91" t="s">
        <v>64</v>
      </c>
      <c r="AE28" s="91" t="s">
        <v>65</v>
      </c>
      <c r="AF28" s="91" t="s">
        <v>66</v>
      </c>
      <c r="AG28" s="91" t="s">
        <v>67</v>
      </c>
      <c r="AH28" s="91" t="s">
        <v>68</v>
      </c>
      <c r="AI28" s="91" t="s">
        <v>69</v>
      </c>
      <c r="AJ28" s="91" t="s">
        <v>94</v>
      </c>
      <c r="AK28" s="92" t="s">
        <v>277</v>
      </c>
      <c r="AL28" s="285" t="s">
        <v>408</v>
      </c>
      <c r="AM28" s="92" t="s">
        <v>409</v>
      </c>
      <c r="AN28" s="285" t="s">
        <v>333</v>
      </c>
      <c r="AO28" s="91" t="s">
        <v>410</v>
      </c>
      <c r="AP28" s="91" t="s">
        <v>411</v>
      </c>
      <c r="AQ28" s="287" t="s">
        <v>412</v>
      </c>
    </row>
    <row r="29" spans="1:43" s="388" customFormat="1" ht="15" x14ac:dyDescent="0.2">
      <c r="B29" s="342" t="s">
        <v>326</v>
      </c>
      <c r="C29" s="355">
        <f>IFERROR(C17/C5-1,"")</f>
        <v>-0.10125850659514413</v>
      </c>
      <c r="D29" s="355">
        <f t="shared" ref="D29:U29" si="0">IFERROR(D17/D5-1,"")</f>
        <v>-0.14206340206937751</v>
      </c>
      <c r="E29" s="355">
        <f t="shared" si="0"/>
        <v>-8.7313270513807106E-2</v>
      </c>
      <c r="F29" s="355">
        <f t="shared" si="0"/>
        <v>-5.7154041950695844E-2</v>
      </c>
      <c r="G29" s="355">
        <f t="shared" si="0"/>
        <v>-7.8183805851457344E-2</v>
      </c>
      <c r="H29" s="355">
        <f t="shared" si="0"/>
        <v>-5.6109084616847382E-2</v>
      </c>
      <c r="I29" s="355">
        <f t="shared" si="0"/>
        <v>-6.9032553437193944E-2</v>
      </c>
      <c r="J29" s="355">
        <f t="shared" si="0"/>
        <v>-4.6725952289487838E-2</v>
      </c>
      <c r="K29" s="355">
        <f t="shared" si="0"/>
        <v>-0.11981000976888467</v>
      </c>
      <c r="L29" s="355">
        <f t="shared" si="0"/>
        <v>-0.1642093082913485</v>
      </c>
      <c r="M29" s="355">
        <f t="shared" si="0"/>
        <v>-8.8531322827189118E-2</v>
      </c>
      <c r="N29" s="355">
        <f t="shared" si="0"/>
        <v>-6.0731508780129007E-2</v>
      </c>
      <c r="O29" s="356">
        <f t="shared" si="0"/>
        <v>-9.0476730733359045E-2</v>
      </c>
      <c r="P29" s="357">
        <f t="shared" si="0"/>
        <v>-8.7692866865844876E-2</v>
      </c>
      <c r="Q29" s="356">
        <f t="shared" si="0"/>
        <v>-9.3372174621107806E-2</v>
      </c>
      <c r="R29" s="357">
        <f t="shared" si="0"/>
        <v>-0.1091023987198132</v>
      </c>
      <c r="S29" s="355">
        <f t="shared" si="0"/>
        <v>-6.3934650401120896E-2</v>
      </c>
      <c r="T29" s="355">
        <f t="shared" si="0"/>
        <v>-7.9683568491956902E-2</v>
      </c>
      <c r="U29" s="358">
        <f t="shared" si="0"/>
        <v>-0.10586671038697359</v>
      </c>
      <c r="V29" s="389"/>
      <c r="W29" s="372"/>
      <c r="X29" s="342" t="s">
        <v>326</v>
      </c>
      <c r="Y29" s="355">
        <f t="shared" ref="Y29:AQ29" si="1">IFERROR(Y17/Y5-1,"")</f>
        <v>-0.11293322999999611</v>
      </c>
      <c r="Z29" s="355">
        <f t="shared" si="1"/>
        <v>-0.1439991928102955</v>
      </c>
      <c r="AA29" s="355">
        <f t="shared" si="1"/>
        <v>-0.10849380656297769</v>
      </c>
      <c r="AB29" s="355">
        <f t="shared" si="1"/>
        <v>-8.8865442703787045E-2</v>
      </c>
      <c r="AC29" s="355">
        <f t="shared" si="1"/>
        <v>-9.3699390862856391E-2</v>
      </c>
      <c r="AD29" s="355">
        <f t="shared" si="1"/>
        <v>-9.5043515552734048E-2</v>
      </c>
      <c r="AE29" s="355">
        <f t="shared" si="1"/>
        <v>-8.7284768970756543E-2</v>
      </c>
      <c r="AF29" s="355">
        <f t="shared" si="1"/>
        <v>-8.298939747018641E-2</v>
      </c>
      <c r="AG29" s="355">
        <f t="shared" si="1"/>
        <v>-8.0026940958982218E-2</v>
      </c>
      <c r="AH29" s="355">
        <f t="shared" si="1"/>
        <v>-9.0332545815443699E-2</v>
      </c>
      <c r="AI29" s="355">
        <f t="shared" si="1"/>
        <v>-0.10059559435245236</v>
      </c>
      <c r="AJ29" s="355">
        <f t="shared" si="1"/>
        <v>-0.13577093120940298</v>
      </c>
      <c r="AK29" s="356">
        <f t="shared" si="1"/>
        <v>-0.10273697751428523</v>
      </c>
      <c r="AL29" s="357">
        <f t="shared" si="1"/>
        <v>-0.10725455996170108</v>
      </c>
      <c r="AM29" s="356">
        <f t="shared" si="1"/>
        <v>-9.7926684562867572E-2</v>
      </c>
      <c r="AN29" s="357">
        <f t="shared" si="1"/>
        <v>-0.12037741597539076</v>
      </c>
      <c r="AO29" s="355">
        <f t="shared" si="1"/>
        <v>-9.2462802207443961E-2</v>
      </c>
      <c r="AP29" s="355">
        <f t="shared" si="1"/>
        <v>-8.3484483919430419E-2</v>
      </c>
      <c r="AQ29" s="358">
        <f t="shared" si="1"/>
        <v>-0.11060837482000452</v>
      </c>
    </row>
    <row r="30" spans="1:43" s="1" customFormat="1" ht="75" x14ac:dyDescent="0.2">
      <c r="A30" s="370" t="s">
        <v>413</v>
      </c>
      <c r="B30" s="320" t="s">
        <v>327</v>
      </c>
      <c r="C30" s="359">
        <f t="shared" ref="C30:U30" si="2">IFERROR(C18/C6-1,"")</f>
        <v>-0.15147692857142392</v>
      </c>
      <c r="D30" s="359">
        <f t="shared" si="2"/>
        <v>-0.15147692857142092</v>
      </c>
      <c r="E30" s="359">
        <f t="shared" si="2"/>
        <v>-0.15147692857142103</v>
      </c>
      <c r="F30" s="359">
        <f t="shared" si="2"/>
        <v>-0.15147692857142092</v>
      </c>
      <c r="G30" s="359">
        <f t="shared" si="2"/>
        <v>-0.15147692857142092</v>
      </c>
      <c r="H30" s="359">
        <f t="shared" si="2"/>
        <v>-0.15147692857142114</v>
      </c>
      <c r="I30" s="359">
        <f t="shared" si="2"/>
        <v>-0.15147692857142103</v>
      </c>
      <c r="J30" s="359">
        <f t="shared" si="2"/>
        <v>-0.15147692857142103</v>
      </c>
      <c r="K30" s="359">
        <f t="shared" si="2"/>
        <v>-0.15147692857142103</v>
      </c>
      <c r="L30" s="359">
        <f t="shared" si="2"/>
        <v>-0.15147692857142103</v>
      </c>
      <c r="M30" s="359">
        <f t="shared" si="2"/>
        <v>-0.15253050459723194</v>
      </c>
      <c r="N30" s="359">
        <f t="shared" si="2"/>
        <v>-0.14713704782828652</v>
      </c>
      <c r="O30" s="360">
        <f t="shared" si="2"/>
        <v>-0.15121373512120306</v>
      </c>
      <c r="P30" s="361">
        <f t="shared" si="2"/>
        <v>-0.1514769285714217</v>
      </c>
      <c r="Q30" s="360">
        <f t="shared" si="2"/>
        <v>-0.15092022410953132</v>
      </c>
      <c r="R30" s="361">
        <f t="shared" si="2"/>
        <v>-0.15147692857142203</v>
      </c>
      <c r="S30" s="359">
        <f t="shared" si="2"/>
        <v>-0.15147692857142092</v>
      </c>
      <c r="T30" s="359">
        <f t="shared" si="2"/>
        <v>-0.15147692857142092</v>
      </c>
      <c r="U30" s="362">
        <f t="shared" si="2"/>
        <v>-0.15038618718734043</v>
      </c>
      <c r="W30" s="370" t="s">
        <v>413</v>
      </c>
      <c r="X30" s="320" t="s">
        <v>327</v>
      </c>
      <c r="Y30" s="359">
        <f t="shared" ref="Y30:AQ30" si="3">IFERROR(Y18/Y6-1,"")</f>
        <v>-0.14999999999999991</v>
      </c>
      <c r="Z30" s="359">
        <f t="shared" si="3"/>
        <v>-0.15000000000000002</v>
      </c>
      <c r="AA30" s="359">
        <f t="shared" si="3"/>
        <v>-0.13604746794958122</v>
      </c>
      <c r="AB30" s="359">
        <f t="shared" si="3"/>
        <v>-0.13588653188410804</v>
      </c>
      <c r="AC30" s="359">
        <f t="shared" si="3"/>
        <v>-0.13580428411910772</v>
      </c>
      <c r="AD30" s="359">
        <f t="shared" si="3"/>
        <v>-0.13576833484276429</v>
      </c>
      <c r="AE30" s="359">
        <f t="shared" si="3"/>
        <v>-0.13572751317643994</v>
      </c>
      <c r="AF30" s="359">
        <f t="shared" si="3"/>
        <v>-0.13553191685790045</v>
      </c>
      <c r="AG30" s="359">
        <f t="shared" si="3"/>
        <v>-0.13560141147615912</v>
      </c>
      <c r="AH30" s="359">
        <f t="shared" si="3"/>
        <v>-0.13549055632802443</v>
      </c>
      <c r="AI30" s="359">
        <f t="shared" si="3"/>
        <v>-0.13638226247909213</v>
      </c>
      <c r="AJ30" s="359">
        <f t="shared" si="3"/>
        <v>-0.18572340832275624</v>
      </c>
      <c r="AK30" s="360">
        <f t="shared" si="3"/>
        <v>-0.14331077333301512</v>
      </c>
      <c r="AL30" s="361">
        <f t="shared" si="3"/>
        <v>-0.14102884176154717</v>
      </c>
      <c r="AM30" s="360">
        <f t="shared" si="3"/>
        <v>-0.14579044192899915</v>
      </c>
      <c r="AN30" s="361">
        <f t="shared" si="3"/>
        <v>-0.14557116856746211</v>
      </c>
      <c r="AO30" s="359">
        <f t="shared" si="3"/>
        <v>-0.1358206318514793</v>
      </c>
      <c r="AP30" s="359">
        <f t="shared" si="3"/>
        <v>-0.13562256553973029</v>
      </c>
      <c r="AQ30" s="362">
        <f t="shared" si="3"/>
        <v>-0.15486455224876972</v>
      </c>
    </row>
    <row r="31" spans="1:43" s="1" customFormat="1" ht="30" x14ac:dyDescent="0.2">
      <c r="A31" s="370" t="s">
        <v>413</v>
      </c>
      <c r="B31" s="321" t="s">
        <v>328</v>
      </c>
      <c r="C31" s="363">
        <f t="shared" ref="C31:U31" si="4">IFERROR(C19/C7-1,"")</f>
        <v>0.16827854868234682</v>
      </c>
      <c r="D31" s="363">
        <f t="shared" si="4"/>
        <v>-0.18054997888494373</v>
      </c>
      <c r="E31" s="363">
        <f t="shared" si="4"/>
        <v>0.26766538665374395</v>
      </c>
      <c r="F31" s="363">
        <f t="shared" si="4"/>
        <v>0.30926077194386825</v>
      </c>
      <c r="G31" s="363">
        <f t="shared" si="4"/>
        <v>0.19320060665522276</v>
      </c>
      <c r="H31" s="363">
        <f t="shared" si="4"/>
        <v>0.25131753293591252</v>
      </c>
      <c r="I31" s="363">
        <f t="shared" si="4"/>
        <v>7.3819162374652469E-2</v>
      </c>
      <c r="J31" s="363">
        <f t="shared" si="4"/>
        <v>0.29891576754550364</v>
      </c>
      <c r="K31" s="363">
        <f t="shared" si="4"/>
        <v>-0.20022842614549985</v>
      </c>
      <c r="L31" s="363">
        <f t="shared" si="4"/>
        <v>-0.48696581770173508</v>
      </c>
      <c r="M31" s="363">
        <f t="shared" si="4"/>
        <v>-4.2641374359785544E-2</v>
      </c>
      <c r="N31" s="363">
        <f t="shared" si="4"/>
        <v>0.35343011797334123</v>
      </c>
      <c r="O31" s="364">
        <f t="shared" si="4"/>
        <v>2.3890046476759519E-2</v>
      </c>
      <c r="P31" s="365">
        <f t="shared" si="4"/>
        <v>0.16672484595552239</v>
      </c>
      <c r="Q31" s="364">
        <f t="shared" si="4"/>
        <v>-8.5634062830725832E-2</v>
      </c>
      <c r="R31" s="365">
        <f t="shared" si="4"/>
        <v>8.5273168830115376E-2</v>
      </c>
      <c r="S31" s="363">
        <f t="shared" si="4"/>
        <v>0.25699212745096922</v>
      </c>
      <c r="T31" s="363">
        <f t="shared" si="4"/>
        <v>3.4918547550593093E-3</v>
      </c>
      <c r="U31" s="366">
        <f t="shared" si="4"/>
        <v>-0.14833659855266057</v>
      </c>
      <c r="W31" s="370" t="s">
        <v>413</v>
      </c>
      <c r="X31" s="321" t="s">
        <v>328</v>
      </c>
      <c r="Y31" s="363">
        <f t="shared" ref="Y31:AQ31" si="5">IFERROR(Y19/Y7-1,"")</f>
        <v>0.11775611675366582</v>
      </c>
      <c r="Z31" s="363">
        <f t="shared" si="5"/>
        <v>-0.14897319893208905</v>
      </c>
      <c r="AA31" s="363">
        <f t="shared" si="5"/>
        <v>3.2839022836634202E-2</v>
      </c>
      <c r="AB31" s="363">
        <f t="shared" si="5"/>
        <v>7.0712778085140426E-2</v>
      </c>
      <c r="AC31" s="363">
        <f t="shared" si="5"/>
        <v>8.4380559590592652E-2</v>
      </c>
      <c r="AD31" s="363">
        <f t="shared" si="5"/>
        <v>1.0833438909270354E-2</v>
      </c>
      <c r="AE31" s="363">
        <f t="shared" si="5"/>
        <v>6.5859966997777741E-2</v>
      </c>
      <c r="AF31" s="363">
        <f t="shared" si="5"/>
        <v>4.7859571309122995E-2</v>
      </c>
      <c r="AG31" s="363">
        <f t="shared" si="5"/>
        <v>0.14538547101437738</v>
      </c>
      <c r="AH31" s="363">
        <f t="shared" si="5"/>
        <v>-2.3284185336246765E-2</v>
      </c>
      <c r="AI31" s="363">
        <f t="shared" si="5"/>
        <v>-5.5717800406212992E-2</v>
      </c>
      <c r="AJ31" s="363">
        <f t="shared" si="5"/>
        <v>0.10090879562366739</v>
      </c>
      <c r="AK31" s="364">
        <f t="shared" si="5"/>
        <v>3.5151404123969998E-2</v>
      </c>
      <c r="AL31" s="365">
        <f t="shared" si="5"/>
        <v>3.3984406450755067E-2</v>
      </c>
      <c r="AM31" s="364">
        <f t="shared" si="5"/>
        <v>3.6295767191787176E-2</v>
      </c>
      <c r="AN31" s="365">
        <f t="shared" si="5"/>
        <v>1.373740713288818E-2</v>
      </c>
      <c r="AO31" s="363">
        <f t="shared" si="5"/>
        <v>5.4129344673722546E-2</v>
      </c>
      <c r="AP31" s="363">
        <f t="shared" si="5"/>
        <v>8.7495128280752787E-2</v>
      </c>
      <c r="AQ31" s="366">
        <f t="shared" si="5"/>
        <v>-2.6285593086335934E-3</v>
      </c>
    </row>
    <row r="32" spans="1:43" s="1" customFormat="1" ht="16.5" x14ac:dyDescent="0.2">
      <c r="A32" s="370" t="s">
        <v>413</v>
      </c>
      <c r="B32" s="343" t="s">
        <v>285</v>
      </c>
      <c r="C32" s="316">
        <f t="shared" ref="C32:U32" si="6">IFERROR(C20/C8-1,"")</f>
        <v>0.17762846558616618</v>
      </c>
      <c r="D32" s="316">
        <f t="shared" si="6"/>
        <v>5.1921076094314955E-2</v>
      </c>
      <c r="E32" s="316">
        <f t="shared" si="6"/>
        <v>0.20519340347025605</v>
      </c>
      <c r="F32" s="316">
        <f t="shared" si="6"/>
        <v>0.53586662571165644</v>
      </c>
      <c r="G32" s="316">
        <f t="shared" si="6"/>
        <v>0.62654768785863735</v>
      </c>
      <c r="H32" s="316">
        <f t="shared" si="6"/>
        <v>0.68356182715657487</v>
      </c>
      <c r="I32" s="316">
        <f t="shared" si="6"/>
        <v>0.67357966123450952</v>
      </c>
      <c r="J32" s="316">
        <f t="shared" si="6"/>
        <v>0.50943147165538427</v>
      </c>
      <c r="K32" s="316">
        <f t="shared" si="6"/>
        <v>0.46081462585265065</v>
      </c>
      <c r="L32" s="316">
        <f t="shared" si="6"/>
        <v>0.57808068110000721</v>
      </c>
      <c r="M32" s="316">
        <f t="shared" si="6"/>
        <v>0.51673570539604841</v>
      </c>
      <c r="N32" s="316">
        <f t="shared" si="6"/>
        <v>0.22772451321296217</v>
      </c>
      <c r="O32" s="367">
        <f t="shared" si="6"/>
        <v>0.43207094826701398</v>
      </c>
      <c r="P32" s="368">
        <f t="shared" si="6"/>
        <v>0.36829271082016102</v>
      </c>
      <c r="Q32" s="367">
        <f t="shared" si="6"/>
        <v>0.48234585868974844</v>
      </c>
      <c r="R32" s="368">
        <f t="shared" si="6"/>
        <v>0.14672555663958753</v>
      </c>
      <c r="S32" s="316">
        <f t="shared" si="6"/>
        <v>0.61514282983270574</v>
      </c>
      <c r="T32" s="316">
        <f t="shared" si="6"/>
        <v>0.54652054262589567</v>
      </c>
      <c r="U32" s="369">
        <f t="shared" si="6"/>
        <v>0.42503252358031607</v>
      </c>
      <c r="W32" s="370" t="s">
        <v>413</v>
      </c>
      <c r="X32" s="343" t="s">
        <v>285</v>
      </c>
      <c r="Y32" s="316">
        <f t="shared" ref="Y32:AQ32" si="7">IFERROR(Y20/Y8-1,"")</f>
        <v>0.35220657780279097</v>
      </c>
      <c r="Z32" s="316">
        <f t="shared" si="7"/>
        <v>3.1643979873157591E-2</v>
      </c>
      <c r="AA32" s="316">
        <f t="shared" si="7"/>
        <v>0.18640888714503245</v>
      </c>
      <c r="AB32" s="316">
        <f t="shared" si="7"/>
        <v>0.59904063467361279</v>
      </c>
      <c r="AC32" s="316">
        <f t="shared" si="7"/>
        <v>0.59904063467361257</v>
      </c>
      <c r="AD32" s="316">
        <f t="shared" si="7"/>
        <v>0.59904063467361257</v>
      </c>
      <c r="AE32" s="316">
        <f t="shared" si="7"/>
        <v>0.59904063467361257</v>
      </c>
      <c r="AF32" s="316">
        <f t="shared" si="7"/>
        <v>0.59904063467361235</v>
      </c>
      <c r="AG32" s="316">
        <f t="shared" si="7"/>
        <v>0.59904063467361257</v>
      </c>
      <c r="AH32" s="316">
        <f t="shared" si="7"/>
        <v>0.59904063467361257</v>
      </c>
      <c r="AI32" s="316">
        <f t="shared" si="7"/>
        <v>0.59904063467361235</v>
      </c>
      <c r="AJ32" s="316">
        <f t="shared" si="7"/>
        <v>0.46819309153387167</v>
      </c>
      <c r="AK32" s="367">
        <f t="shared" si="7"/>
        <v>0.4896845748833043</v>
      </c>
      <c r="AL32" s="368">
        <f t="shared" si="7"/>
        <v>0.38612329646449406</v>
      </c>
      <c r="AM32" s="367">
        <f t="shared" si="7"/>
        <v>0.5753239891278743</v>
      </c>
      <c r="AN32" s="368">
        <f t="shared" si="7"/>
        <v>0.18640888714503201</v>
      </c>
      <c r="AO32" s="316">
        <f t="shared" si="7"/>
        <v>0.59904063467361257</v>
      </c>
      <c r="AP32" s="316">
        <f t="shared" si="7"/>
        <v>0.59904063467361257</v>
      </c>
      <c r="AQ32" s="369">
        <f t="shared" si="7"/>
        <v>0.55299917522306763</v>
      </c>
    </row>
    <row r="33" spans="2:43" s="74" customFormat="1" ht="75" x14ac:dyDescent="0.2">
      <c r="B33" s="320" t="s">
        <v>394</v>
      </c>
      <c r="C33" s="467">
        <f t="shared" ref="C33:U33" si="8">IFERROR(C21/C9-1,"")</f>
        <v>-6.5060413486098256E-2</v>
      </c>
      <c r="D33" s="467">
        <f t="shared" si="8"/>
        <v>-0.1672983552582068</v>
      </c>
      <c r="E33" s="467">
        <f t="shared" si="8"/>
        <v>-5.0387257541336439E-2</v>
      </c>
      <c r="F33" s="467">
        <f t="shared" si="8"/>
        <v>-5.5096366494374993E-2</v>
      </c>
      <c r="G33" s="467">
        <f t="shared" si="8"/>
        <v>-9.5498280154060367E-2</v>
      </c>
      <c r="H33" s="467">
        <f t="shared" si="8"/>
        <v>-2.3446760827770308E-2</v>
      </c>
      <c r="I33" s="467">
        <f t="shared" si="8"/>
        <v>-8.4020976785617818E-2</v>
      </c>
      <c r="J33" s="467">
        <f t="shared" si="8"/>
        <v>-7.6095412582292465E-2</v>
      </c>
      <c r="K33" s="467">
        <f t="shared" si="8"/>
        <v>-0.14377895285660625</v>
      </c>
      <c r="L33" s="467">
        <f t="shared" si="8"/>
        <v>-0.26084781453566874</v>
      </c>
      <c r="M33" s="467">
        <f t="shared" si="8"/>
        <v>-2.2922098965236781E-2</v>
      </c>
      <c r="N33" s="467">
        <f t="shared" si="8"/>
        <v>6.7501754870781472E-2</v>
      </c>
      <c r="O33" s="468">
        <f t="shared" si="8"/>
        <v>-8.349792218165053E-2</v>
      </c>
      <c r="P33" s="469">
        <f t="shared" si="8"/>
        <v>-7.609440912905896E-2</v>
      </c>
      <c r="Q33" s="468">
        <f t="shared" si="8"/>
        <v>-9.1172297787965428E-2</v>
      </c>
      <c r="R33" s="469">
        <f t="shared" si="8"/>
        <v>-9.1482483133747738E-2</v>
      </c>
      <c r="S33" s="467">
        <f t="shared" si="8"/>
        <v>-5.8675797155709031E-2</v>
      </c>
      <c r="T33" s="467">
        <f t="shared" si="8"/>
        <v>-0.10230846090491397</v>
      </c>
      <c r="U33" s="470">
        <f t="shared" si="8"/>
        <v>-8.0854589904168828E-2</v>
      </c>
      <c r="X33" s="320" t="s">
        <v>394</v>
      </c>
      <c r="Y33" s="467">
        <f t="shared" ref="Y33:AQ33" si="9">IFERROR(Y21/Y9-1,"")</f>
        <v>-9.6681302784413226E-2</v>
      </c>
      <c r="Z33" s="467">
        <f t="shared" si="9"/>
        <v>-0.12990500312569642</v>
      </c>
      <c r="AA33" s="467">
        <f t="shared" si="9"/>
        <v>-8.8806661121408004E-2</v>
      </c>
      <c r="AB33" s="467">
        <f t="shared" si="9"/>
        <v>-7.6256861012988897E-2</v>
      </c>
      <c r="AC33" s="467">
        <f t="shared" si="9"/>
        <v>-8.9717024353517916E-2</v>
      </c>
      <c r="AD33" s="467">
        <f t="shared" si="9"/>
        <v>-8.6156462393290667E-2</v>
      </c>
      <c r="AE33" s="467">
        <f t="shared" si="9"/>
        <v>-9.2110865099142014E-2</v>
      </c>
      <c r="AF33" s="467">
        <f t="shared" si="9"/>
        <v>-9.0150947860116903E-2</v>
      </c>
      <c r="AG33" s="467">
        <f t="shared" si="9"/>
        <v>-6.8882267154342314E-2</v>
      </c>
      <c r="AH33" s="467">
        <f t="shared" si="9"/>
        <v>-7.9456877782647095E-2</v>
      </c>
      <c r="AI33" s="467">
        <f t="shared" si="9"/>
        <v>-8.9072309422176033E-2</v>
      </c>
      <c r="AJ33" s="467">
        <f t="shared" si="9"/>
        <v>-2.8246487037137391E-2</v>
      </c>
      <c r="AK33" s="468">
        <f t="shared" si="9"/>
        <v>-8.4662720941997782E-2</v>
      </c>
      <c r="AL33" s="469">
        <f t="shared" si="9"/>
        <v>-9.4327786122204382E-2</v>
      </c>
      <c r="AM33" s="468">
        <f t="shared" si="9"/>
        <v>-7.4252073607535163E-2</v>
      </c>
      <c r="AN33" s="469">
        <f t="shared" si="9"/>
        <v>-0.10367431857765907</v>
      </c>
      <c r="AO33" s="467">
        <f t="shared" si="9"/>
        <v>-8.389128190366113E-2</v>
      </c>
      <c r="AP33" s="467">
        <f t="shared" si="9"/>
        <v>-8.3880349088103379E-2</v>
      </c>
      <c r="AQ33" s="470">
        <f t="shared" si="9"/>
        <v>-6.5363551116348395E-2</v>
      </c>
    </row>
    <row r="34" spans="2:43" s="74" customFormat="1" ht="45" x14ac:dyDescent="0.2">
      <c r="B34" s="343" t="s">
        <v>396</v>
      </c>
      <c r="C34" s="316">
        <f t="shared" ref="C34:U34" si="10">IFERROR(C22/C10-1,"")</f>
        <v>-0.16877444605570402</v>
      </c>
      <c r="D34" s="316">
        <f t="shared" si="10"/>
        <v>0.18113474654354</v>
      </c>
      <c r="E34" s="316">
        <f t="shared" si="10"/>
        <v>-0.13779855301553212</v>
      </c>
      <c r="F34" s="316">
        <f t="shared" si="10"/>
        <v>0.1027696909348883</v>
      </c>
      <c r="G34" s="316">
        <f t="shared" si="10"/>
        <v>0.15061724326825732</v>
      </c>
      <c r="H34" s="316">
        <f t="shared" si="10"/>
        <v>-8.0599266498876498E-2</v>
      </c>
      <c r="I34" s="316">
        <f t="shared" si="10"/>
        <v>0.17680481648671287</v>
      </c>
      <c r="J34" s="316">
        <f t="shared" si="10"/>
        <v>0.34417624307096339</v>
      </c>
      <c r="K34" s="316">
        <f t="shared" si="10"/>
        <v>0.17823737589451838</v>
      </c>
      <c r="L34" s="316">
        <f t="shared" si="10"/>
        <v>0.71450223896550025</v>
      </c>
      <c r="M34" s="316">
        <f t="shared" si="10"/>
        <v>-0.27571778980187889</v>
      </c>
      <c r="N34" s="316">
        <f t="shared" si="10"/>
        <v>-0.54501965016201592</v>
      </c>
      <c r="O34" s="471">
        <f t="shared" si="10"/>
        <v>1.8300903190895612E-2</v>
      </c>
      <c r="P34" s="472">
        <f t="shared" si="10"/>
        <v>-2.8952221400102562E-3</v>
      </c>
      <c r="Q34" s="471">
        <f t="shared" si="10"/>
        <v>4.064835477984019E-2</v>
      </c>
      <c r="R34" s="472">
        <f t="shared" si="10"/>
        <v>-6.4940905126393167E-2</v>
      </c>
      <c r="S34" s="473">
        <f t="shared" si="10"/>
        <v>5.9188008369108092E-2</v>
      </c>
      <c r="T34" s="473">
        <f t="shared" si="10"/>
        <v>0.22661543648319116</v>
      </c>
      <c r="U34" s="474">
        <f t="shared" si="10"/>
        <v>-0.1122578781573117</v>
      </c>
      <c r="X34" s="343" t="s">
        <v>396</v>
      </c>
      <c r="Y34" s="316">
        <f t="shared" ref="Y34:AQ34" si="11">IFERROR(Y22/Y10-1,"")</f>
        <v>-0.16127232822186433</v>
      </c>
      <c r="Z34" s="316">
        <f t="shared" si="11"/>
        <v>-0.16423035068560476</v>
      </c>
      <c r="AA34" s="316">
        <f t="shared" si="11"/>
        <v>-0.1596394160675213</v>
      </c>
      <c r="AB34" s="316">
        <f t="shared" si="11"/>
        <v>-9.2440623434351554E-2</v>
      </c>
      <c r="AC34" s="316">
        <f t="shared" si="11"/>
        <v>-8.706416237513559E-3</v>
      </c>
      <c r="AD34" s="316">
        <f t="shared" si="11"/>
        <v>-6.7197005490034045E-2</v>
      </c>
      <c r="AE34" s="316">
        <f t="shared" si="11"/>
        <v>0.10396740244653491</v>
      </c>
      <c r="AF34" s="316">
        <f t="shared" si="11"/>
        <v>0.14755823220070652</v>
      </c>
      <c r="AG34" s="316">
        <f t="shared" si="11"/>
        <v>-6.507242379915279E-2</v>
      </c>
      <c r="AH34" s="316">
        <f t="shared" si="11"/>
        <v>-7.1867762034937388E-2</v>
      </c>
      <c r="AI34" s="316">
        <f t="shared" si="11"/>
        <v>-0.10635169656031074</v>
      </c>
      <c r="AJ34" s="316">
        <f t="shared" si="11"/>
        <v>-0.54639160674078291</v>
      </c>
      <c r="AK34" s="471">
        <f t="shared" si="11"/>
        <v>-0.15354338330240558</v>
      </c>
      <c r="AL34" s="472">
        <f t="shared" si="11"/>
        <v>-0.11522933519911249</v>
      </c>
      <c r="AM34" s="471">
        <f t="shared" si="11"/>
        <v>-0.19048398895741658</v>
      </c>
      <c r="AN34" s="472">
        <f t="shared" si="11"/>
        <v>-0.16156847134795893</v>
      </c>
      <c r="AO34" s="473">
        <f t="shared" si="11"/>
        <v>-5.8372480209559097E-2</v>
      </c>
      <c r="AP34" s="473">
        <f t="shared" si="11"/>
        <v>5.3771246364042291E-2</v>
      </c>
      <c r="AQ34" s="474">
        <f t="shared" si="11"/>
        <v>-0.33083653938048874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F12C-64CE-49AC-8ACE-F56EA7460F7F}">
  <sheetPr>
    <tabColor rgb="FF00B0F0"/>
  </sheetPr>
  <dimension ref="A3:AE34"/>
  <sheetViews>
    <sheetView showZeros="0" topLeftCell="A10" workbookViewId="0">
      <selection activeCell="H30" sqref="H30:H32"/>
    </sheetView>
  </sheetViews>
  <sheetFormatPr defaultRowHeight="14.25" x14ac:dyDescent="0.2"/>
  <cols>
    <col min="1" max="2" width="9" style="524"/>
    <col min="3" max="3" width="9.375" style="524" bestFit="1" customWidth="1"/>
    <col min="4" max="14" width="9" style="524"/>
    <col min="15" max="15" width="10.125" style="524" bestFit="1" customWidth="1"/>
    <col min="16" max="16" width="9.875" style="524" customWidth="1"/>
    <col min="17" max="16384" width="9" style="524"/>
  </cols>
  <sheetData>
    <row r="3" spans="1:31" s="386" customFormat="1" ht="29.25" x14ac:dyDescent="0.2">
      <c r="B3" s="419" t="s">
        <v>414</v>
      </c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R3" s="419" t="s">
        <v>407</v>
      </c>
      <c r="S3" s="381"/>
      <c r="T3" s="380"/>
      <c r="U3" s="380"/>
      <c r="V3" s="380"/>
      <c r="W3" s="380"/>
      <c r="X3" s="380"/>
      <c r="Y3" s="381"/>
      <c r="Z3" s="381"/>
      <c r="AA3" s="380"/>
      <c r="AB3" s="380"/>
      <c r="AC3" s="380"/>
      <c r="AD3" s="524"/>
      <c r="AE3" s="420"/>
    </row>
    <row r="4" spans="1:31" s="1" customFormat="1" ht="16.5" x14ac:dyDescent="0.2">
      <c r="B4" s="403" t="s">
        <v>276</v>
      </c>
      <c r="C4" s="94" t="s">
        <v>92</v>
      </c>
      <c r="D4" s="94" t="s">
        <v>93</v>
      </c>
      <c r="E4" s="94" t="s">
        <v>61</v>
      </c>
      <c r="F4" s="94" t="s">
        <v>62</v>
      </c>
      <c r="G4" s="94" t="s">
        <v>63</v>
      </c>
      <c r="H4" s="94" t="s">
        <v>64</v>
      </c>
      <c r="I4" s="94" t="s">
        <v>65</v>
      </c>
      <c r="J4" s="94" t="s">
        <v>66</v>
      </c>
      <c r="K4" s="94" t="s">
        <v>67</v>
      </c>
      <c r="L4" s="94" t="s">
        <v>68</v>
      </c>
      <c r="M4" s="94" t="s">
        <v>69</v>
      </c>
      <c r="N4" s="94" t="s">
        <v>94</v>
      </c>
      <c r="O4" s="95" t="s">
        <v>277</v>
      </c>
      <c r="R4" s="90" t="s">
        <v>325</v>
      </c>
      <c r="S4" s="91" t="s">
        <v>92</v>
      </c>
      <c r="T4" s="91" t="s">
        <v>93</v>
      </c>
      <c r="U4" s="91" t="s">
        <v>61</v>
      </c>
      <c r="V4" s="91" t="s">
        <v>62</v>
      </c>
      <c r="W4" s="91" t="s">
        <v>63</v>
      </c>
      <c r="X4" s="91" t="s">
        <v>64</v>
      </c>
      <c r="Y4" s="91" t="s">
        <v>65</v>
      </c>
      <c r="Z4" s="91" t="s">
        <v>66</v>
      </c>
      <c r="AA4" s="91" t="s">
        <v>67</v>
      </c>
      <c r="AB4" s="91" t="s">
        <v>68</v>
      </c>
      <c r="AC4" s="91" t="s">
        <v>69</v>
      </c>
      <c r="AD4" s="91" t="s">
        <v>94</v>
      </c>
      <c r="AE4" s="92" t="s">
        <v>277</v>
      </c>
    </row>
    <row r="5" spans="1:31" s="388" customFormat="1" ht="15" x14ac:dyDescent="0.2">
      <c r="B5" s="342" t="s">
        <v>326</v>
      </c>
      <c r="C5" s="351">
        <v>110222402.18999992</v>
      </c>
      <c r="D5" s="351">
        <v>83609413.390000388</v>
      </c>
      <c r="E5" s="351">
        <v>86799136.91000025</v>
      </c>
      <c r="F5" s="351">
        <v>86919720.890000284</v>
      </c>
      <c r="G5" s="351">
        <v>85535277.200000405</v>
      </c>
      <c r="H5" s="351">
        <v>80433400.560000464</v>
      </c>
      <c r="I5" s="351">
        <v>82719753.860000387</v>
      </c>
      <c r="J5" s="351">
        <v>76924778.290000454</v>
      </c>
      <c r="K5" s="351">
        <v>85138540.930000454</v>
      </c>
      <c r="L5" s="351">
        <v>92473955.380000398</v>
      </c>
      <c r="M5" s="351">
        <v>91194584.450000316</v>
      </c>
      <c r="N5" s="351">
        <v>84507816.399999991</v>
      </c>
      <c r="O5" s="352">
        <v>1046478780.4500036</v>
      </c>
      <c r="P5" s="389"/>
      <c r="Q5" s="372"/>
      <c r="R5" s="342" t="s">
        <v>326</v>
      </c>
      <c r="S5" s="351">
        <v>26183689.379999995</v>
      </c>
      <c r="T5" s="351">
        <v>18907275.77</v>
      </c>
      <c r="U5" s="351">
        <v>21181039.092830185</v>
      </c>
      <c r="V5" s="351">
        <v>20419942.996792451</v>
      </c>
      <c r="W5" s="351">
        <v>19028404.050566036</v>
      </c>
      <c r="X5" s="351">
        <v>19346421.219245281</v>
      </c>
      <c r="Y5" s="351">
        <v>18855792.086226411</v>
      </c>
      <c r="Z5" s="351">
        <v>17898504.081320755</v>
      </c>
      <c r="AA5" s="351">
        <v>18162052.84566037</v>
      </c>
      <c r="AB5" s="351">
        <v>17715842.924528297</v>
      </c>
      <c r="AC5" s="351">
        <v>21853010.981132079</v>
      </c>
      <c r="AD5" s="351">
        <v>22971147.858490568</v>
      </c>
      <c r="AE5" s="352">
        <v>242523123.28679243</v>
      </c>
    </row>
    <row r="6" spans="1:31" s="1" customFormat="1" ht="75" x14ac:dyDescent="0.2">
      <c r="A6" s="370" t="s">
        <v>413</v>
      </c>
      <c r="B6" s="320" t="s">
        <v>327</v>
      </c>
      <c r="C6" s="347">
        <v>93066095.129999995</v>
      </c>
      <c r="D6" s="347">
        <v>68875966.650000006</v>
      </c>
      <c r="E6" s="347">
        <v>72664093.980000004</v>
      </c>
      <c r="F6" s="347">
        <v>71559511.599999994</v>
      </c>
      <c r="G6" s="347">
        <v>73159841.680000007</v>
      </c>
      <c r="H6" s="347">
        <v>66716190.480000004</v>
      </c>
      <c r="I6" s="347">
        <v>67862809.829999998</v>
      </c>
      <c r="J6" s="347">
        <v>62344970.230000004</v>
      </c>
      <c r="K6" s="347">
        <v>65620600.760000005</v>
      </c>
      <c r="L6" s="347">
        <v>67768060.359999999</v>
      </c>
      <c r="M6" s="347">
        <v>68448763.140000001</v>
      </c>
      <c r="N6" s="347">
        <v>67923618.549999997</v>
      </c>
      <c r="O6" s="348">
        <v>846010522.38999999</v>
      </c>
      <c r="Q6" s="370" t="s">
        <v>413</v>
      </c>
      <c r="R6" s="320" t="s">
        <v>327</v>
      </c>
      <c r="S6" s="347">
        <v>23060800.899999999</v>
      </c>
      <c r="T6" s="347">
        <v>16413199.239999998</v>
      </c>
      <c r="U6" s="347">
        <v>18356697.632830188</v>
      </c>
      <c r="V6" s="347">
        <v>17233521.416792452</v>
      </c>
      <c r="W6" s="347">
        <v>16710973.850566039</v>
      </c>
      <c r="X6" s="347">
        <v>16492398.259245282</v>
      </c>
      <c r="Y6" s="347">
        <v>16251029.336226413</v>
      </c>
      <c r="Z6" s="347">
        <v>15186116.151320755</v>
      </c>
      <c r="AA6" s="347">
        <v>15548110.205660377</v>
      </c>
      <c r="AB6" s="347">
        <v>14978563.204528302</v>
      </c>
      <c r="AC6" s="347">
        <v>17678212.301132075</v>
      </c>
      <c r="AD6" s="347">
        <v>19991942.128490567</v>
      </c>
      <c r="AE6" s="348">
        <v>207901564.62679246</v>
      </c>
    </row>
    <row r="7" spans="1:31" s="1" customFormat="1" ht="30" x14ac:dyDescent="0.2">
      <c r="A7" s="370" t="s">
        <v>413</v>
      </c>
      <c r="B7" s="321" t="s">
        <v>328</v>
      </c>
      <c r="C7" s="338">
        <v>11875837.4</v>
      </c>
      <c r="D7" s="338">
        <v>9505244.5999999996</v>
      </c>
      <c r="E7" s="338">
        <v>8448582.2000000011</v>
      </c>
      <c r="F7" s="338">
        <v>10411125</v>
      </c>
      <c r="G7" s="338">
        <v>7751860</v>
      </c>
      <c r="H7" s="338">
        <v>8753480.5999999996</v>
      </c>
      <c r="I7" s="338">
        <v>9067021.2000000011</v>
      </c>
      <c r="J7" s="338">
        <v>7495744.7999999998</v>
      </c>
      <c r="K7" s="338">
        <v>13999987.799999999</v>
      </c>
      <c r="L7" s="338">
        <v>18029060</v>
      </c>
      <c r="M7" s="338">
        <v>16780506.699999999</v>
      </c>
      <c r="N7" s="338">
        <v>8632591.5</v>
      </c>
      <c r="O7" s="339">
        <v>130751041.80000001</v>
      </c>
      <c r="Q7" s="370" t="s">
        <v>413</v>
      </c>
      <c r="R7" s="321" t="s">
        <v>328</v>
      </c>
      <c r="S7" s="338">
        <v>2549751.2000000002</v>
      </c>
      <c r="T7" s="338">
        <v>1880081.8</v>
      </c>
      <c r="U7" s="338">
        <v>2130051.1999999997</v>
      </c>
      <c r="V7" s="338">
        <v>2615080.4</v>
      </c>
      <c r="W7" s="338">
        <v>1752152.4000000001</v>
      </c>
      <c r="X7" s="338">
        <v>2225886</v>
      </c>
      <c r="Y7" s="338">
        <v>1876419.1</v>
      </c>
      <c r="Z7" s="338">
        <v>1908652.7</v>
      </c>
      <c r="AA7" s="338">
        <v>2008057.5999999999</v>
      </c>
      <c r="AB7" s="338">
        <v>1945294.6</v>
      </c>
      <c r="AC7" s="338">
        <v>3494718</v>
      </c>
      <c r="AD7" s="338">
        <v>2180017.1</v>
      </c>
      <c r="AE7" s="339">
        <v>26566162.100000005</v>
      </c>
    </row>
    <row r="8" spans="1:31" s="1" customFormat="1" ht="16.5" x14ac:dyDescent="0.2">
      <c r="A8" s="370" t="s">
        <v>413</v>
      </c>
      <c r="B8" s="343" t="s">
        <v>285</v>
      </c>
      <c r="C8" s="302">
        <v>5280469.6599999201</v>
      </c>
      <c r="D8" s="302">
        <v>5228202.1400003899</v>
      </c>
      <c r="E8" s="302">
        <v>5686460.73000025</v>
      </c>
      <c r="F8" s="302">
        <v>4949084.2900002804</v>
      </c>
      <c r="G8" s="302">
        <v>4623575.5200004093</v>
      </c>
      <c r="H8" s="302">
        <v>4963729.4800004596</v>
      </c>
      <c r="I8" s="302">
        <v>5789922.8300003801</v>
      </c>
      <c r="J8" s="302">
        <v>7084063.2600004496</v>
      </c>
      <c r="K8" s="302">
        <v>5517952.3700004602</v>
      </c>
      <c r="L8" s="302">
        <v>6676835.0200004</v>
      </c>
      <c r="M8" s="302">
        <v>5965314.6100003198</v>
      </c>
      <c r="N8" s="302">
        <v>7951606.3499999996</v>
      </c>
      <c r="O8" s="344">
        <v>69717216.260003716</v>
      </c>
      <c r="Q8" s="370" t="s">
        <v>413</v>
      </c>
      <c r="R8" s="343" t="s">
        <v>285</v>
      </c>
      <c r="S8" s="302">
        <v>573137.28</v>
      </c>
      <c r="T8" s="302">
        <v>613994.72999999905</v>
      </c>
      <c r="U8" s="302">
        <v>694290.25999999605</v>
      </c>
      <c r="V8" s="302">
        <v>571341.17999999807</v>
      </c>
      <c r="W8" s="302">
        <v>565277.799999999</v>
      </c>
      <c r="X8" s="302">
        <v>628136.95999999903</v>
      </c>
      <c r="Y8" s="302">
        <v>728343.64999999595</v>
      </c>
      <c r="Z8" s="302">
        <v>803735.22999999893</v>
      </c>
      <c r="AA8" s="302">
        <v>605885.03999999398</v>
      </c>
      <c r="AB8" s="302">
        <v>791985.11999999697</v>
      </c>
      <c r="AC8" s="302">
        <v>680080.68000000203</v>
      </c>
      <c r="AD8" s="302">
        <v>799188.63</v>
      </c>
      <c r="AE8" s="344">
        <v>8055396.5599999791</v>
      </c>
    </row>
    <row r="9" spans="1:31" s="74" customFormat="1" ht="75" x14ac:dyDescent="0.2">
      <c r="B9" s="320" t="s">
        <v>394</v>
      </c>
      <c r="C9" s="458">
        <v>91060795.599999994</v>
      </c>
      <c r="D9" s="458">
        <v>71242893.299999997</v>
      </c>
      <c r="E9" s="458">
        <v>72887479.299999997</v>
      </c>
      <c r="F9" s="458">
        <v>72173433</v>
      </c>
      <c r="G9" s="458">
        <v>69886465.700000003</v>
      </c>
      <c r="H9" s="458">
        <v>65714354.899999999</v>
      </c>
      <c r="I9" s="458">
        <v>68868779.900000006</v>
      </c>
      <c r="J9" s="458">
        <v>65116613.600000001</v>
      </c>
      <c r="K9" s="458">
        <v>71528972</v>
      </c>
      <c r="L9" s="458">
        <v>79916867.200000003</v>
      </c>
      <c r="M9" s="458">
        <v>73733515.700000003</v>
      </c>
      <c r="N9" s="458">
        <v>68166470.5</v>
      </c>
      <c r="O9" s="459">
        <v>870296640.70000005</v>
      </c>
      <c r="R9" s="320" t="s">
        <v>394</v>
      </c>
      <c r="S9" s="458">
        <v>23141348.399999999</v>
      </c>
      <c r="T9" s="458">
        <v>16740906.5</v>
      </c>
      <c r="U9" s="458">
        <v>18651063.452830188</v>
      </c>
      <c r="V9" s="458">
        <v>18127099.886792451</v>
      </c>
      <c r="W9" s="458">
        <v>17050641.590566039</v>
      </c>
      <c r="X9" s="458">
        <v>17242450.979245283</v>
      </c>
      <c r="Y9" s="458">
        <v>17060421.996226415</v>
      </c>
      <c r="Z9" s="458">
        <v>16235447.161320755</v>
      </c>
      <c r="AA9" s="458">
        <v>16150201.905660378</v>
      </c>
      <c r="AB9" s="458">
        <v>15755886.724528303</v>
      </c>
      <c r="AC9" s="458">
        <v>19418912.281132076</v>
      </c>
      <c r="AD9" s="458">
        <v>18386453.058490567</v>
      </c>
      <c r="AE9" s="459">
        <v>213960833.93679249</v>
      </c>
    </row>
    <row r="10" spans="1:31" s="74" customFormat="1" ht="45" x14ac:dyDescent="0.2">
      <c r="B10" s="343" t="s">
        <v>396</v>
      </c>
      <c r="C10" s="302">
        <v>16752497.199999999</v>
      </c>
      <c r="D10" s="302">
        <v>10504729.699999999</v>
      </c>
      <c r="E10" s="302">
        <v>11604644.5</v>
      </c>
      <c r="F10" s="302">
        <v>12473110.699999999</v>
      </c>
      <c r="G10" s="302">
        <v>13588685</v>
      </c>
      <c r="H10" s="302">
        <v>12776572.300000001</v>
      </c>
      <c r="I10" s="302">
        <v>11834622.1</v>
      </c>
      <c r="J10" s="302">
        <v>9796971.8000000007</v>
      </c>
      <c r="K10" s="302">
        <v>11622004.6</v>
      </c>
      <c r="L10" s="302">
        <v>10625908.6</v>
      </c>
      <c r="M10" s="302">
        <v>15294616.300000001</v>
      </c>
      <c r="N10" s="302">
        <v>14523049.9</v>
      </c>
      <c r="O10" s="462">
        <v>151397412.69999999</v>
      </c>
      <c r="R10" s="343" t="s">
        <v>396</v>
      </c>
      <c r="S10" s="302">
        <v>2769275.6</v>
      </c>
      <c r="T10" s="302">
        <v>1936495.7</v>
      </c>
      <c r="U10" s="302">
        <v>2247014.9</v>
      </c>
      <c r="V10" s="302">
        <v>2050038.4</v>
      </c>
      <c r="W10" s="302">
        <v>1739691.9</v>
      </c>
      <c r="X10" s="302">
        <v>1876888.2</v>
      </c>
      <c r="Y10" s="302">
        <v>1558920</v>
      </c>
      <c r="Z10" s="302">
        <v>1430264.5</v>
      </c>
      <c r="AA10" s="302">
        <v>1787154.4</v>
      </c>
      <c r="AB10" s="302">
        <v>1736339.4</v>
      </c>
      <c r="AC10" s="302">
        <v>2199376.9</v>
      </c>
      <c r="AD10" s="302">
        <v>4376535.8</v>
      </c>
      <c r="AE10" s="462">
        <v>25707995.699999996</v>
      </c>
    </row>
    <row r="11" spans="1:31" x14ac:dyDescent="0.2">
      <c r="AD11" s="61"/>
    </row>
    <row r="15" spans="1:31" s="386" customFormat="1" ht="29.25" x14ac:dyDescent="0.2">
      <c r="B15" s="419" t="s">
        <v>431</v>
      </c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0"/>
      <c r="N15" s="380"/>
      <c r="O15" s="380"/>
      <c r="R15" s="419" t="s">
        <v>432</v>
      </c>
      <c r="S15" s="381"/>
      <c r="T15" s="380"/>
      <c r="U15" s="380"/>
      <c r="V15" s="380"/>
      <c r="W15" s="380"/>
      <c r="X15" s="380"/>
      <c r="Y15" s="381"/>
      <c r="Z15" s="381"/>
      <c r="AA15" s="380"/>
      <c r="AB15" s="380"/>
      <c r="AC15" s="380"/>
      <c r="AD15" s="524"/>
      <c r="AE15" s="420"/>
    </row>
    <row r="16" spans="1:31" s="1" customFormat="1" ht="16.5" x14ac:dyDescent="0.2">
      <c r="B16" s="403" t="s">
        <v>276</v>
      </c>
      <c r="C16" s="94" t="s">
        <v>92</v>
      </c>
      <c r="D16" s="94" t="s">
        <v>93</v>
      </c>
      <c r="E16" s="94" t="s">
        <v>61</v>
      </c>
      <c r="F16" s="94" t="s">
        <v>62</v>
      </c>
      <c r="G16" s="94" t="s">
        <v>63</v>
      </c>
      <c r="H16" s="94" t="s">
        <v>64</v>
      </c>
      <c r="I16" s="94" t="s">
        <v>65</v>
      </c>
      <c r="J16" s="94" t="s">
        <v>66</v>
      </c>
      <c r="K16" s="94" t="s">
        <v>67</v>
      </c>
      <c r="L16" s="94" t="s">
        <v>68</v>
      </c>
      <c r="M16" s="94" t="s">
        <v>69</v>
      </c>
      <c r="N16" s="94" t="s">
        <v>94</v>
      </c>
      <c r="O16" s="95" t="s">
        <v>277</v>
      </c>
      <c r="R16" s="90" t="s">
        <v>325</v>
      </c>
      <c r="S16" s="91" t="s">
        <v>92</v>
      </c>
      <c r="T16" s="91" t="s">
        <v>93</v>
      </c>
      <c r="U16" s="91" t="s">
        <v>61</v>
      </c>
      <c r="V16" s="91" t="s">
        <v>62</v>
      </c>
      <c r="W16" s="91" t="s">
        <v>63</v>
      </c>
      <c r="X16" s="91" t="s">
        <v>64</v>
      </c>
      <c r="Y16" s="91" t="s">
        <v>65</v>
      </c>
      <c r="Z16" s="91" t="s">
        <v>66</v>
      </c>
      <c r="AA16" s="91" t="s">
        <v>67</v>
      </c>
      <c r="AB16" s="91" t="s">
        <v>68</v>
      </c>
      <c r="AC16" s="91" t="s">
        <v>69</v>
      </c>
      <c r="AD16" s="91" t="s">
        <v>94</v>
      </c>
      <c r="AE16" s="92" t="s">
        <v>277</v>
      </c>
    </row>
    <row r="17" spans="1:31" s="388" customFormat="1" ht="15" x14ac:dyDescent="0.2">
      <c r="B17" s="342" t="s">
        <v>326</v>
      </c>
      <c r="C17" s="351">
        <v>99061446.350911185</v>
      </c>
      <c r="D17" s="351">
        <v>71731575.67879197</v>
      </c>
      <c r="E17" s="351">
        <v>80431467.056424081</v>
      </c>
      <c r="F17" s="351">
        <v>84784064.592710868</v>
      </c>
      <c r="G17" s="351">
        <v>83749194.729997978</v>
      </c>
      <c r="H17" s="351">
        <v>83438532.692468002</v>
      </c>
      <c r="I17" s="351">
        <v>78186644.685917422</v>
      </c>
      <c r="J17" s="351">
        <v>74451400.310985163</v>
      </c>
      <c r="K17" s="351">
        <v>76083673.994003683</v>
      </c>
      <c r="L17" s="351">
        <v>78470390.106414154</v>
      </c>
      <c r="M17" s="351">
        <v>84391682.395126104</v>
      </c>
      <c r="N17" s="351">
        <v>80588947.030651912</v>
      </c>
      <c r="O17" s="352">
        <v>963736046.82499588</v>
      </c>
      <c r="P17" s="582"/>
      <c r="Q17" s="372"/>
      <c r="R17" s="342" t="s">
        <v>326</v>
      </c>
      <c r="S17" s="351">
        <v>23226680.765000001</v>
      </c>
      <c r="T17" s="351">
        <v>16184643.320878342</v>
      </c>
      <c r="U17" s="351">
        <v>19171693.354208339</v>
      </c>
      <c r="V17" s="351">
        <v>19248292.538757399</v>
      </c>
      <c r="W17" s="351">
        <v>18317477.885577459</v>
      </c>
      <c r="X17" s="351">
        <v>19241403.958254345</v>
      </c>
      <c r="Y17" s="351">
        <v>17473058.311649267</v>
      </c>
      <c r="Z17" s="351">
        <v>16664026.196769351</v>
      </c>
      <c r="AA17" s="351">
        <v>16964024.537636589</v>
      </c>
      <c r="AB17" s="351">
        <v>16361884.608071562</v>
      </c>
      <c r="AC17" s="351">
        <v>19955156.683215987</v>
      </c>
      <c r="AD17" s="351">
        <v>20155817.376192596</v>
      </c>
      <c r="AE17" s="352">
        <v>220331117.61420938</v>
      </c>
    </row>
    <row r="18" spans="1:31" s="1" customFormat="1" ht="75" x14ac:dyDescent="0.2">
      <c r="A18" s="370" t="s">
        <v>413</v>
      </c>
      <c r="B18" s="320" t="s">
        <v>327</v>
      </c>
      <c r="C18" s="347">
        <v>78968728.885571644</v>
      </c>
      <c r="D18" s="347">
        <v>58442846.769470386</v>
      </c>
      <c r="E18" s="347">
        <v>62863085.749573499</v>
      </c>
      <c r="F18" s="347">
        <v>63325154.183130145</v>
      </c>
      <c r="G18" s="347">
        <v>66899785.137625188</v>
      </c>
      <c r="H18" s="347">
        <v>63444596.861320145</v>
      </c>
      <c r="I18" s="347">
        <v>58709403.776843019</v>
      </c>
      <c r="J18" s="347">
        <v>53935816.095110372</v>
      </c>
      <c r="K18" s="347">
        <v>56769626.187726222</v>
      </c>
      <c r="L18" s="347">
        <v>58627434.213457614</v>
      </c>
      <c r="M18" s="347">
        <v>59142796.636906594</v>
      </c>
      <c r="N18" s="347">
        <v>59062556.439418681</v>
      </c>
      <c r="O18" s="348">
        <v>729439193.45718324</v>
      </c>
      <c r="P18" s="582"/>
      <c r="Q18" s="370" t="s">
        <v>413</v>
      </c>
      <c r="R18" s="320" t="s">
        <v>327</v>
      </c>
      <c r="S18" s="347">
        <v>19601680.765000001</v>
      </c>
      <c r="T18" s="347">
        <v>13951219.353999998</v>
      </c>
      <c r="U18" s="347">
        <v>16169500.842707338</v>
      </c>
      <c r="V18" s="347">
        <v>15530664.395898992</v>
      </c>
      <c r="W18" s="347">
        <v>15563317.568555759</v>
      </c>
      <c r="X18" s="347">
        <v>15974002.024919366</v>
      </c>
      <c r="Y18" s="347">
        <v>14320023.786463873</v>
      </c>
      <c r="Z18" s="347">
        <v>13384675.84702307</v>
      </c>
      <c r="AA18" s="347">
        <v>13702627.016766906</v>
      </c>
      <c r="AB18" s="347">
        <v>13202375.3328977</v>
      </c>
      <c r="AC18" s="347">
        <v>15565822.572832445</v>
      </c>
      <c r="AD18" s="347">
        <v>16597363.79141503</v>
      </c>
      <c r="AE18" s="348">
        <v>180934301.90420941</v>
      </c>
    </row>
    <row r="19" spans="1:31" s="1" customFormat="1" ht="30" x14ac:dyDescent="0.2">
      <c r="A19" s="370" t="s">
        <v>413</v>
      </c>
      <c r="B19" s="321" t="s">
        <v>328</v>
      </c>
      <c r="C19" s="338">
        <v>13874286.082059536</v>
      </c>
      <c r="D19" s="338">
        <v>7789072.8881737748</v>
      </c>
      <c r="E19" s="338">
        <v>10709975.221238941</v>
      </c>
      <c r="F19" s="338">
        <v>13630877.554304106</v>
      </c>
      <c r="G19" s="338">
        <v>9249524.0547063556</v>
      </c>
      <c r="H19" s="338">
        <v>10953383.748994371</v>
      </c>
      <c r="I19" s="338">
        <v>9736341.1102172174</v>
      </c>
      <c r="J19" s="338">
        <v>9736341.1102172174</v>
      </c>
      <c r="K19" s="338">
        <v>11196792.276749801</v>
      </c>
      <c r="L19" s="338">
        <v>9249524.0547063556</v>
      </c>
      <c r="M19" s="338">
        <v>16064962.83185841</v>
      </c>
      <c r="N19" s="338">
        <v>11683609.332260663</v>
      </c>
      <c r="O19" s="339">
        <v>133874690.26548675</v>
      </c>
      <c r="P19" s="582"/>
      <c r="Q19" s="370" t="s">
        <v>413</v>
      </c>
      <c r="R19" s="321" t="s">
        <v>328</v>
      </c>
      <c r="S19" s="338">
        <v>2850000</v>
      </c>
      <c r="T19" s="338">
        <v>1600000</v>
      </c>
      <c r="U19" s="338">
        <v>2200000</v>
      </c>
      <c r="V19" s="338">
        <v>2800000</v>
      </c>
      <c r="W19" s="338">
        <v>1900000</v>
      </c>
      <c r="X19" s="338">
        <v>2250000</v>
      </c>
      <c r="Y19" s="338">
        <v>2000000</v>
      </c>
      <c r="Z19" s="338">
        <v>2000000</v>
      </c>
      <c r="AA19" s="338">
        <v>2300000</v>
      </c>
      <c r="AB19" s="338">
        <v>1900000</v>
      </c>
      <c r="AC19" s="338">
        <v>3300000</v>
      </c>
      <c r="AD19" s="338">
        <v>2400000</v>
      </c>
      <c r="AE19" s="339">
        <v>27500000</v>
      </c>
    </row>
    <row r="20" spans="1:31" s="1" customFormat="1" ht="16.5" x14ac:dyDescent="0.2">
      <c r="A20" s="370" t="s">
        <v>413</v>
      </c>
      <c r="B20" s="343" t="s">
        <v>285</v>
      </c>
      <c r="C20" s="302">
        <v>6218431.3832800109</v>
      </c>
      <c r="D20" s="302">
        <v>5499656.0211478109</v>
      </c>
      <c r="E20" s="302">
        <v>6853284.9608889585</v>
      </c>
      <c r="F20" s="302">
        <v>7650771.9303051513</v>
      </c>
      <c r="G20" s="302">
        <v>7683206.6238118391</v>
      </c>
      <c r="H20" s="302">
        <v>8688312.5982116293</v>
      </c>
      <c r="I20" s="302">
        <v>9689897.088405991</v>
      </c>
      <c r="J20" s="302">
        <v>10692908.031842317</v>
      </c>
      <c r="K20" s="302">
        <v>8060705.5268549686</v>
      </c>
      <c r="L20" s="302">
        <v>10536584.355954612</v>
      </c>
      <c r="M20" s="302">
        <v>9047805.662908189</v>
      </c>
      <c r="N20" s="302">
        <v>9762382.0353148486</v>
      </c>
      <c r="O20" s="344">
        <v>99839999.999999985</v>
      </c>
      <c r="P20" s="582"/>
      <c r="Q20" s="370" t="s">
        <v>413</v>
      </c>
      <c r="R20" s="343" t="s">
        <v>285</v>
      </c>
      <c r="S20" s="302">
        <v>775000</v>
      </c>
      <c r="T20" s="302">
        <v>633423.96687834384</v>
      </c>
      <c r="U20" s="302">
        <v>823712.13472223061</v>
      </c>
      <c r="V20" s="302">
        <v>919563.93393090763</v>
      </c>
      <c r="W20" s="302">
        <v>923462.33459276904</v>
      </c>
      <c r="X20" s="302">
        <v>1044268.3411312056</v>
      </c>
      <c r="Y20" s="302">
        <v>1164651.092356489</v>
      </c>
      <c r="Z20" s="302">
        <v>1285205.2922887402</v>
      </c>
      <c r="AA20" s="302">
        <v>968834.79890083754</v>
      </c>
      <c r="AB20" s="302">
        <v>1266416.3889368523</v>
      </c>
      <c r="AC20" s="302">
        <v>1087476.6421764651</v>
      </c>
      <c r="AD20" s="302">
        <v>1173363.2253984194</v>
      </c>
      <c r="AE20" s="344">
        <v>12000000.000000002</v>
      </c>
    </row>
    <row r="21" spans="1:31" s="74" customFormat="1" ht="75" x14ac:dyDescent="0.2">
      <c r="B21" s="320" t="s">
        <v>394</v>
      </c>
      <c r="C21" s="458">
        <v>85136342.585890919</v>
      </c>
      <c r="D21" s="458">
        <v>59324074.427074075</v>
      </c>
      <c r="E21" s="458">
        <v>70209602.016327262</v>
      </c>
      <c r="F21" s="458">
        <v>70374603.103007972</v>
      </c>
      <c r="G21" s="458">
        <v>67096022.915772006</v>
      </c>
      <c r="H21" s="458">
        <v>70341858.428593189</v>
      </c>
      <c r="I21" s="458">
        <v>63988947.006587043</v>
      </c>
      <c r="J21" s="458">
        <v>61026150.67166245</v>
      </c>
      <c r="K21" s="458">
        <v>62124789.364066944</v>
      </c>
      <c r="L21" s="458">
        <v>59919663.085869931</v>
      </c>
      <c r="M21" s="458">
        <v>73078761.641809151</v>
      </c>
      <c r="N21" s="458">
        <v>73813611.043680891</v>
      </c>
      <c r="O21" s="459">
        <v>807015699.21040154</v>
      </c>
      <c r="P21" s="582"/>
      <c r="R21" s="320" t="s">
        <v>394</v>
      </c>
      <c r="S21" s="458">
        <v>20904012.688500002</v>
      </c>
      <c r="T21" s="458">
        <v>14566178.988790508</v>
      </c>
      <c r="U21" s="458">
        <v>17238964.780794643</v>
      </c>
      <c r="V21" s="458">
        <v>17279478.440470707</v>
      </c>
      <c r="W21" s="458">
        <v>16474469.912354732</v>
      </c>
      <c r="X21" s="458">
        <v>17271438.453449219</v>
      </c>
      <c r="Y21" s="458">
        <v>15711571.809653068</v>
      </c>
      <c r="Z21" s="458">
        <v>14984099.495274264</v>
      </c>
      <c r="AA21" s="458">
        <v>15253854.531355724</v>
      </c>
      <c r="AB21" s="458">
        <v>14712417.275548421</v>
      </c>
      <c r="AC21" s="458">
        <v>17943445.938837066</v>
      </c>
      <c r="AD21" s="458">
        <v>18123877.711618073</v>
      </c>
      <c r="AE21" s="459">
        <v>198151176.14541113</v>
      </c>
    </row>
    <row r="22" spans="1:31" s="74" customFormat="1" ht="45" x14ac:dyDescent="0.2">
      <c r="B22" s="343" t="s">
        <v>396</v>
      </c>
      <c r="C22" s="302">
        <v>13925103.765020264</v>
      </c>
      <c r="D22" s="302">
        <v>12407501.251717895</v>
      </c>
      <c r="E22" s="302">
        <v>10374084.887991633</v>
      </c>
      <c r="F22" s="302">
        <v>14848693.141858669</v>
      </c>
      <c r="G22" s="302">
        <v>17264768.655562147</v>
      </c>
      <c r="H22" s="302">
        <v>13832790.756380605</v>
      </c>
      <c r="I22" s="302">
        <v>14440028.195796203</v>
      </c>
      <c r="J22" s="302">
        <v>13653917.76008692</v>
      </c>
      <c r="K22" s="302">
        <v>14197865.169196386</v>
      </c>
      <c r="L22" s="302">
        <v>18889190.296154745</v>
      </c>
      <c r="M22" s="302">
        <v>11485650.945022387</v>
      </c>
      <c r="N22" s="302">
        <v>6851090.1019905256</v>
      </c>
      <c r="O22" s="462">
        <v>158876809.1518819</v>
      </c>
      <c r="P22" s="582"/>
      <c r="R22" s="343" t="s">
        <v>396</v>
      </c>
      <c r="S22" s="302">
        <v>2322668.0765</v>
      </c>
      <c r="T22" s="302">
        <v>1618464.3320878344</v>
      </c>
      <c r="U22" s="302">
        <v>1957856.4028891488</v>
      </c>
      <c r="V22" s="302">
        <v>2008471.523161548</v>
      </c>
      <c r="W22" s="302">
        <v>1904263.7070556078</v>
      </c>
      <c r="X22" s="302">
        <v>2061668.9978069996</v>
      </c>
      <c r="Y22" s="302">
        <v>1784387.9756197261</v>
      </c>
      <c r="Z22" s="302">
        <v>1701767.7982052516</v>
      </c>
      <c r="AA22" s="302">
        <v>1732404.3028515205</v>
      </c>
      <c r="AB22" s="302">
        <v>1670912.4202747873</v>
      </c>
      <c r="AC22" s="302">
        <v>2037865.4384389357</v>
      </c>
      <c r="AD22" s="302">
        <v>2058357.359277331</v>
      </c>
      <c r="AE22" s="462">
        <v>22417068.238798302</v>
      </c>
    </row>
    <row r="24" spans="1:31" x14ac:dyDescent="0.2">
      <c r="U24" s="61"/>
    </row>
    <row r="27" spans="1:31" s="386" customFormat="1" ht="29.25" x14ac:dyDescent="0.2">
      <c r="B27" s="419" t="s">
        <v>433</v>
      </c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R27" s="419" t="s">
        <v>434</v>
      </c>
      <c r="S27" s="381"/>
      <c r="T27" s="380"/>
      <c r="U27" s="380"/>
      <c r="V27" s="380"/>
      <c r="W27" s="380"/>
      <c r="X27" s="380"/>
      <c r="Y27" s="381"/>
      <c r="Z27" s="381"/>
      <c r="AA27" s="380"/>
      <c r="AB27" s="380"/>
      <c r="AC27" s="380"/>
      <c r="AD27" s="524"/>
      <c r="AE27" s="420"/>
    </row>
    <row r="28" spans="1:31" s="1" customFormat="1" ht="16.5" x14ac:dyDescent="0.2">
      <c r="B28" s="403" t="s">
        <v>276</v>
      </c>
      <c r="C28" s="94" t="s">
        <v>92</v>
      </c>
      <c r="D28" s="94" t="s">
        <v>93</v>
      </c>
      <c r="E28" s="94" t="s">
        <v>61</v>
      </c>
      <c r="F28" s="94" t="s">
        <v>62</v>
      </c>
      <c r="G28" s="94" t="s">
        <v>63</v>
      </c>
      <c r="H28" s="94" t="s">
        <v>64</v>
      </c>
      <c r="I28" s="94" t="s">
        <v>65</v>
      </c>
      <c r="J28" s="94" t="s">
        <v>66</v>
      </c>
      <c r="K28" s="94" t="s">
        <v>67</v>
      </c>
      <c r="L28" s="94" t="s">
        <v>68</v>
      </c>
      <c r="M28" s="94" t="s">
        <v>69</v>
      </c>
      <c r="N28" s="94" t="s">
        <v>94</v>
      </c>
      <c r="O28" s="95" t="s">
        <v>277</v>
      </c>
      <c r="R28" s="90" t="s">
        <v>325</v>
      </c>
      <c r="S28" s="91" t="s">
        <v>92</v>
      </c>
      <c r="T28" s="91" t="s">
        <v>93</v>
      </c>
      <c r="U28" s="91" t="s">
        <v>61</v>
      </c>
      <c r="V28" s="91" t="s">
        <v>62</v>
      </c>
      <c r="W28" s="91" t="s">
        <v>63</v>
      </c>
      <c r="X28" s="91" t="s">
        <v>64</v>
      </c>
      <c r="Y28" s="91" t="s">
        <v>65</v>
      </c>
      <c r="Z28" s="91" t="s">
        <v>66</v>
      </c>
      <c r="AA28" s="91" t="s">
        <v>67</v>
      </c>
      <c r="AB28" s="91" t="s">
        <v>68</v>
      </c>
      <c r="AC28" s="91" t="s">
        <v>69</v>
      </c>
      <c r="AD28" s="91" t="s">
        <v>94</v>
      </c>
      <c r="AE28" s="92" t="s">
        <v>277</v>
      </c>
    </row>
    <row r="29" spans="1:31" s="388" customFormat="1" ht="15" x14ac:dyDescent="0.2">
      <c r="B29" s="342" t="s">
        <v>326</v>
      </c>
      <c r="C29" s="355">
        <f>IFERROR(C17/C5-1,"")</f>
        <v>-0.10125850659514413</v>
      </c>
      <c r="D29" s="355">
        <f t="shared" ref="D29:O29" si="0">IFERROR(D17/D5-1,"")</f>
        <v>-0.14206340206937751</v>
      </c>
      <c r="E29" s="355">
        <f t="shared" si="0"/>
        <v>-7.3360981229325328E-2</v>
      </c>
      <c r="F29" s="355">
        <f t="shared" si="0"/>
        <v>-2.4570445871451407E-2</v>
      </c>
      <c r="G29" s="355">
        <f t="shared" si="0"/>
        <v>-2.0881237875995606E-2</v>
      </c>
      <c r="H29" s="355">
        <f t="shared" si="0"/>
        <v>3.7361744145404163E-2</v>
      </c>
      <c r="I29" s="355">
        <f t="shared" si="0"/>
        <v>-5.4800805884348436E-2</v>
      </c>
      <c r="J29" s="355">
        <f t="shared" si="0"/>
        <v>-3.215320257005938E-2</v>
      </c>
      <c r="K29" s="355">
        <f t="shared" si="0"/>
        <v>-0.10635449981978828</v>
      </c>
      <c r="L29" s="355">
        <f t="shared" si="0"/>
        <v>-0.15143253271736701</v>
      </c>
      <c r="M29" s="355">
        <f t="shared" si="0"/>
        <v>-7.4597653971481992E-2</v>
      </c>
      <c r="N29" s="355">
        <f t="shared" si="0"/>
        <v>-4.6372862727856234E-2</v>
      </c>
      <c r="O29" s="356">
        <f t="shared" si="0"/>
        <v>-7.9067760542098076E-2</v>
      </c>
      <c r="P29" s="389"/>
      <c r="Q29" s="372"/>
      <c r="R29" s="342" t="s">
        <v>326</v>
      </c>
      <c r="S29" s="355">
        <f t="shared" ref="S29:AE34" si="1">IFERROR(S17/S5-1,"")</f>
        <v>-0.11293322999999611</v>
      </c>
      <c r="T29" s="355">
        <f t="shared" si="1"/>
        <v>-0.1439991928102955</v>
      </c>
      <c r="U29" s="355">
        <f t="shared" si="1"/>
        <v>-9.486530522961989E-2</v>
      </c>
      <c r="V29" s="355">
        <f t="shared" si="1"/>
        <v>-5.7377753611706606E-2</v>
      </c>
      <c r="W29" s="355">
        <f t="shared" si="1"/>
        <v>-3.7361313281942254E-2</v>
      </c>
      <c r="X29" s="355">
        <f t="shared" si="1"/>
        <v>-5.4282525848484697E-3</v>
      </c>
      <c r="Y29" s="355">
        <f t="shared" si="1"/>
        <v>-7.333204398171056E-2</v>
      </c>
      <c r="Z29" s="355">
        <f t="shared" si="1"/>
        <v>-6.8971008914634924E-2</v>
      </c>
      <c r="AA29" s="355">
        <f t="shared" si="1"/>
        <v>-6.5963265177374275E-2</v>
      </c>
      <c r="AB29" s="355">
        <f t="shared" si="1"/>
        <v>-7.6426412348809314E-2</v>
      </c>
      <c r="AC29" s="355">
        <f t="shared" si="1"/>
        <v>-8.6846352640132851E-2</v>
      </c>
      <c r="AD29" s="355">
        <f t="shared" si="1"/>
        <v>-0.12255941669268278</v>
      </c>
      <c r="AE29" s="356">
        <f t="shared" si="1"/>
        <v>-9.1504700136737838E-2</v>
      </c>
    </row>
    <row r="30" spans="1:31" s="1" customFormat="1" ht="75" x14ac:dyDescent="0.2">
      <c r="A30" s="370" t="s">
        <v>413</v>
      </c>
      <c r="B30" s="320" t="s">
        <v>327</v>
      </c>
      <c r="C30" s="359">
        <f t="shared" ref="C30:O34" si="2">IFERROR(C18/C6-1,"")</f>
        <v>-0.15147692857142392</v>
      </c>
      <c r="D30" s="359">
        <f t="shared" si="2"/>
        <v>-0.15147692857142092</v>
      </c>
      <c r="E30" s="359">
        <f t="shared" si="2"/>
        <v>-0.13488103537249252</v>
      </c>
      <c r="F30" s="359">
        <f t="shared" si="2"/>
        <v>-0.1150700617256567</v>
      </c>
      <c r="G30" s="359">
        <f t="shared" si="2"/>
        <v>-8.5566841024017126E-2</v>
      </c>
      <c r="H30" s="359">
        <f t="shared" si="2"/>
        <v>-4.9037476437756244E-2</v>
      </c>
      <c r="I30" s="359">
        <f t="shared" si="2"/>
        <v>-0.13488103537249274</v>
      </c>
      <c r="J30" s="359">
        <f t="shared" si="2"/>
        <v>-0.13488103537249263</v>
      </c>
      <c r="K30" s="359">
        <f t="shared" si="2"/>
        <v>-0.13488103537249274</v>
      </c>
      <c r="L30" s="359">
        <f t="shared" si="2"/>
        <v>-0.13488103537249274</v>
      </c>
      <c r="M30" s="359">
        <f t="shared" si="2"/>
        <v>-0.13595521783293107</v>
      </c>
      <c r="N30" s="359">
        <f t="shared" si="2"/>
        <v>-0.13045627279204075</v>
      </c>
      <c r="O30" s="360">
        <f t="shared" si="2"/>
        <v>-0.13778945515181062</v>
      </c>
      <c r="Q30" s="370" t="s">
        <v>413</v>
      </c>
      <c r="R30" s="320" t="s">
        <v>327</v>
      </c>
      <c r="S30" s="359">
        <f t="shared" si="1"/>
        <v>-0.14999999999999991</v>
      </c>
      <c r="T30" s="359">
        <f t="shared" si="1"/>
        <v>-0.15000000000000002</v>
      </c>
      <c r="U30" s="359">
        <f t="shared" si="1"/>
        <v>-0.1191497966503049</v>
      </c>
      <c r="V30" s="359">
        <f t="shared" si="1"/>
        <v>-9.8810740980319056E-2</v>
      </c>
      <c r="W30" s="359">
        <f t="shared" si="1"/>
        <v>-6.8676804372559408E-2</v>
      </c>
      <c r="X30" s="359">
        <f t="shared" si="1"/>
        <v>-3.1432434881647042E-2</v>
      </c>
      <c r="Y30" s="359">
        <f t="shared" si="1"/>
        <v>-0.11882358402110493</v>
      </c>
      <c r="Z30" s="359">
        <f t="shared" si="1"/>
        <v>-0.11862416211935878</v>
      </c>
      <c r="AA30" s="359">
        <f t="shared" si="1"/>
        <v>-0.11869501595258902</v>
      </c>
      <c r="AB30" s="359">
        <f t="shared" si="1"/>
        <v>-0.11858199263689229</v>
      </c>
      <c r="AC30" s="359">
        <f t="shared" si="1"/>
        <v>-0.11949113928020638</v>
      </c>
      <c r="AD30" s="359">
        <f t="shared" si="1"/>
        <v>-0.16979732710600015</v>
      </c>
      <c r="AE30" s="360">
        <f t="shared" si="1"/>
        <v>-0.12971168721597859</v>
      </c>
    </row>
    <row r="31" spans="1:31" s="1" customFormat="1" ht="30" x14ac:dyDescent="0.2">
      <c r="A31" s="370" t="s">
        <v>413</v>
      </c>
      <c r="B31" s="321" t="s">
        <v>328</v>
      </c>
      <c r="C31" s="363">
        <f t="shared" si="2"/>
        <v>0.16827854868234682</v>
      </c>
      <c r="D31" s="363">
        <f t="shared" si="2"/>
        <v>-0.18054997888494373</v>
      </c>
      <c r="E31" s="363">
        <f t="shared" si="2"/>
        <v>0.26766538665374395</v>
      </c>
      <c r="F31" s="363">
        <f t="shared" si="2"/>
        <v>0.30926077194386825</v>
      </c>
      <c r="G31" s="363">
        <f t="shared" si="2"/>
        <v>0.19320060665522276</v>
      </c>
      <c r="H31" s="363">
        <f t="shared" si="2"/>
        <v>0.25131753293591252</v>
      </c>
      <c r="I31" s="363">
        <f t="shared" si="2"/>
        <v>7.3819162374652469E-2</v>
      </c>
      <c r="J31" s="363">
        <f t="shared" si="2"/>
        <v>0.29891576754550364</v>
      </c>
      <c r="K31" s="363">
        <f t="shared" si="2"/>
        <v>-0.20022842614549985</v>
      </c>
      <c r="L31" s="363">
        <f t="shared" si="2"/>
        <v>-0.48696581770173508</v>
      </c>
      <c r="M31" s="363">
        <f t="shared" si="2"/>
        <v>-4.2641374359785544E-2</v>
      </c>
      <c r="N31" s="363">
        <f t="shared" si="2"/>
        <v>0.35343011797334123</v>
      </c>
      <c r="O31" s="364">
        <f t="shared" si="2"/>
        <v>2.3890046476759519E-2</v>
      </c>
      <c r="Q31" s="370" t="s">
        <v>413</v>
      </c>
      <c r="R31" s="321" t="s">
        <v>328</v>
      </c>
      <c r="S31" s="363">
        <f t="shared" si="1"/>
        <v>0.11775611675366582</v>
      </c>
      <c r="T31" s="363">
        <f t="shared" si="1"/>
        <v>-0.14897319893208905</v>
      </c>
      <c r="U31" s="363">
        <f t="shared" si="1"/>
        <v>3.2839022836634202E-2</v>
      </c>
      <c r="V31" s="363">
        <f t="shared" si="1"/>
        <v>7.0712778085140426E-2</v>
      </c>
      <c r="W31" s="363">
        <f t="shared" si="1"/>
        <v>8.4380559590592652E-2</v>
      </c>
      <c r="X31" s="363">
        <f t="shared" si="1"/>
        <v>1.0833438909270354E-2</v>
      </c>
      <c r="Y31" s="363">
        <f t="shared" si="1"/>
        <v>6.5859966997777741E-2</v>
      </c>
      <c r="Z31" s="363">
        <f t="shared" si="1"/>
        <v>4.7859571309122995E-2</v>
      </c>
      <c r="AA31" s="363">
        <f t="shared" si="1"/>
        <v>0.14538547101437738</v>
      </c>
      <c r="AB31" s="363">
        <f t="shared" si="1"/>
        <v>-2.3284185336246765E-2</v>
      </c>
      <c r="AC31" s="363">
        <f t="shared" si="1"/>
        <v>-5.5717800406212992E-2</v>
      </c>
      <c r="AD31" s="363">
        <f t="shared" si="1"/>
        <v>0.10090879562366739</v>
      </c>
      <c r="AE31" s="364">
        <f t="shared" si="1"/>
        <v>3.5151404123969998E-2</v>
      </c>
    </row>
    <row r="32" spans="1:31" s="1" customFormat="1" ht="16.5" x14ac:dyDescent="0.2">
      <c r="A32" s="370" t="s">
        <v>413</v>
      </c>
      <c r="B32" s="343" t="s">
        <v>285</v>
      </c>
      <c r="C32" s="316">
        <f t="shared" si="2"/>
        <v>0.17762846558616618</v>
      </c>
      <c r="D32" s="316">
        <f t="shared" si="2"/>
        <v>5.1921076094314955E-2</v>
      </c>
      <c r="E32" s="316">
        <f t="shared" si="2"/>
        <v>0.20519340347025605</v>
      </c>
      <c r="F32" s="316">
        <f t="shared" si="2"/>
        <v>0.54589646932538249</v>
      </c>
      <c r="G32" s="316">
        <f t="shared" si="2"/>
        <v>0.66174567508981852</v>
      </c>
      <c r="H32" s="316">
        <f t="shared" si="2"/>
        <v>0.75035981175404931</v>
      </c>
      <c r="I32" s="316">
        <f t="shared" si="2"/>
        <v>0.67357966123450996</v>
      </c>
      <c r="J32" s="316">
        <f t="shared" si="2"/>
        <v>0.50943147165538427</v>
      </c>
      <c r="K32" s="316">
        <f t="shared" si="2"/>
        <v>0.46081462585265065</v>
      </c>
      <c r="L32" s="316">
        <f t="shared" si="2"/>
        <v>0.57808068110000721</v>
      </c>
      <c r="M32" s="316">
        <f t="shared" si="2"/>
        <v>0.51673570539604841</v>
      </c>
      <c r="N32" s="316">
        <f t="shared" si="2"/>
        <v>0.22772451321296217</v>
      </c>
      <c r="O32" s="367">
        <f t="shared" si="2"/>
        <v>0.43207094826701375</v>
      </c>
      <c r="Q32" s="370" t="s">
        <v>413</v>
      </c>
      <c r="R32" s="343" t="s">
        <v>285</v>
      </c>
      <c r="S32" s="316">
        <f t="shared" si="1"/>
        <v>0.35220657780279097</v>
      </c>
      <c r="T32" s="316">
        <f t="shared" si="1"/>
        <v>3.1643979873157591E-2</v>
      </c>
      <c r="U32" s="316">
        <f t="shared" si="1"/>
        <v>0.18640888714503245</v>
      </c>
      <c r="V32" s="316">
        <f t="shared" si="1"/>
        <v>0.60948303066638876</v>
      </c>
      <c r="W32" s="316">
        <f t="shared" si="1"/>
        <v>0.63364337780958446</v>
      </c>
      <c r="X32" s="316">
        <f t="shared" si="1"/>
        <v>0.66248510696012408</v>
      </c>
      <c r="Y32" s="316">
        <f t="shared" si="1"/>
        <v>0.59904063467361257</v>
      </c>
      <c r="Z32" s="316">
        <f t="shared" si="1"/>
        <v>0.59904063467361235</v>
      </c>
      <c r="AA32" s="316">
        <f t="shared" si="1"/>
        <v>0.59904063467361257</v>
      </c>
      <c r="AB32" s="316">
        <f t="shared" si="1"/>
        <v>0.59904063467361257</v>
      </c>
      <c r="AC32" s="316">
        <f t="shared" si="1"/>
        <v>0.59904063467361235</v>
      </c>
      <c r="AD32" s="316">
        <f t="shared" si="1"/>
        <v>0.46819309153387167</v>
      </c>
      <c r="AE32" s="367">
        <f t="shared" si="1"/>
        <v>0.48968457488330452</v>
      </c>
    </row>
    <row r="33" spans="2:31" s="74" customFormat="1" ht="75" x14ac:dyDescent="0.2">
      <c r="B33" s="320" t="s">
        <v>394</v>
      </c>
      <c r="C33" s="467">
        <f t="shared" si="2"/>
        <v>-6.5060413486098256E-2</v>
      </c>
      <c r="D33" s="467">
        <f t="shared" si="2"/>
        <v>-0.1672983552582068</v>
      </c>
      <c r="E33" s="467">
        <f t="shared" si="2"/>
        <v>-3.673988055823374E-2</v>
      </c>
      <c r="F33" s="467">
        <f t="shared" si="2"/>
        <v>-2.4923712538269194E-2</v>
      </c>
      <c r="G33" s="467">
        <f t="shared" si="2"/>
        <v>-3.9928228681737399E-2</v>
      </c>
      <c r="H33" s="467">
        <f t="shared" si="2"/>
        <v>7.0418457818463454E-2</v>
      </c>
      <c r="I33" s="467">
        <f t="shared" si="2"/>
        <v>-7.0856967416856542E-2</v>
      </c>
      <c r="J33" s="467">
        <f t="shared" si="2"/>
        <v>-6.2817500821903183E-2</v>
      </c>
      <c r="K33" s="467">
        <f t="shared" si="2"/>
        <v>-0.13147375633936209</v>
      </c>
      <c r="L33" s="467">
        <f t="shared" si="2"/>
        <v>-0.25022507531589111</v>
      </c>
      <c r="M33" s="467">
        <f t="shared" si="2"/>
        <v>-8.8800059508196139E-3</v>
      </c>
      <c r="N33" s="467">
        <f t="shared" si="2"/>
        <v>8.2843375962686761E-2</v>
      </c>
      <c r="O33" s="468">
        <f t="shared" si="2"/>
        <v>-7.2711922039248811E-2</v>
      </c>
      <c r="R33" s="320" t="s">
        <v>394</v>
      </c>
      <c r="S33" s="467">
        <f t="shared" si="1"/>
        <v>-9.6681302784413226E-2</v>
      </c>
      <c r="T33" s="467">
        <f t="shared" si="1"/>
        <v>-0.12990500312569642</v>
      </c>
      <c r="U33" s="467">
        <f t="shared" si="1"/>
        <v>-7.5711429303044198E-2</v>
      </c>
      <c r="V33" s="467">
        <f t="shared" si="1"/>
        <v>-4.6759903769236E-2</v>
      </c>
      <c r="W33" s="467">
        <f t="shared" si="1"/>
        <v>-3.3791788722489891E-2</v>
      </c>
      <c r="X33" s="467">
        <f t="shared" si="1"/>
        <v>1.6811690077489505E-3</v>
      </c>
      <c r="Y33" s="467">
        <f t="shared" si="1"/>
        <v>-7.9063119708978946E-2</v>
      </c>
      <c r="Z33" s="467">
        <f t="shared" si="1"/>
        <v>-7.7075035483327836E-2</v>
      </c>
      <c r="AA33" s="467">
        <f t="shared" si="1"/>
        <v>-5.550069154185E-2</v>
      </c>
      <c r="AB33" s="467">
        <f t="shared" si="1"/>
        <v>-6.622727538117168E-2</v>
      </c>
      <c r="AC33" s="467">
        <f t="shared" si="1"/>
        <v>-7.5980895373249702E-2</v>
      </c>
      <c r="AD33" s="467">
        <f t="shared" si="1"/>
        <v>-1.4280913563763264E-2</v>
      </c>
      <c r="AE33" s="468">
        <f t="shared" si="1"/>
        <v>-7.3890428918648721E-2</v>
      </c>
    </row>
    <row r="34" spans="2:31" s="74" customFormat="1" ht="45" x14ac:dyDescent="0.2">
      <c r="B34" s="343" t="s">
        <v>396</v>
      </c>
      <c r="C34" s="316">
        <f t="shared" si="2"/>
        <v>-0.16877444605570413</v>
      </c>
      <c r="D34" s="316">
        <f t="shared" si="2"/>
        <v>0.18113474654354</v>
      </c>
      <c r="E34" s="316">
        <f t="shared" si="2"/>
        <v>-0.10604026792965238</v>
      </c>
      <c r="F34" s="316">
        <f t="shared" si="2"/>
        <v>0.19045629426336053</v>
      </c>
      <c r="G34" s="316">
        <f t="shared" si="2"/>
        <v>0.27052534189747912</v>
      </c>
      <c r="H34" s="316">
        <f t="shared" si="2"/>
        <v>8.2668373925344873E-2</v>
      </c>
      <c r="I34" s="316">
        <f t="shared" si="2"/>
        <v>0.22015118639032871</v>
      </c>
      <c r="J34" s="316">
        <f t="shared" si="2"/>
        <v>0.39368756375178293</v>
      </c>
      <c r="K34" s="316">
        <f t="shared" si="2"/>
        <v>0.22163651261989581</v>
      </c>
      <c r="L34" s="316">
        <f t="shared" si="2"/>
        <v>0.77765412890477381</v>
      </c>
      <c r="M34" s="316">
        <f t="shared" si="2"/>
        <v>-0.24903961500345795</v>
      </c>
      <c r="N34" s="316">
        <f t="shared" si="2"/>
        <v>-0.52826092665353119</v>
      </c>
      <c r="O34" s="471">
        <f t="shared" si="2"/>
        <v>4.9402406015369937E-2</v>
      </c>
      <c r="R34" s="343" t="s">
        <v>396</v>
      </c>
      <c r="S34" s="316">
        <f t="shared" si="1"/>
        <v>-0.16127232822186433</v>
      </c>
      <c r="T34" s="316">
        <f t="shared" si="1"/>
        <v>-0.16423035068560476</v>
      </c>
      <c r="U34" s="316">
        <f t="shared" si="1"/>
        <v>-0.1286856162417308</v>
      </c>
      <c r="V34" s="316">
        <f t="shared" si="1"/>
        <v>-2.0276145480227048E-2</v>
      </c>
      <c r="W34" s="316">
        <f t="shared" si="1"/>
        <v>9.4598248721861511E-2</v>
      </c>
      <c r="X34" s="316">
        <f t="shared" si="1"/>
        <v>9.8450615122946505E-2</v>
      </c>
      <c r="Y34" s="316">
        <f t="shared" si="1"/>
        <v>0.14463088267500979</v>
      </c>
      <c r="Z34" s="316">
        <f t="shared" si="1"/>
        <v>0.18982733487774572</v>
      </c>
      <c r="AA34" s="316">
        <f t="shared" si="1"/>
        <v>-3.0635348097780124E-2</v>
      </c>
      <c r="AB34" s="316">
        <f t="shared" si="1"/>
        <v>-3.7680985483144913E-2</v>
      </c>
      <c r="AC34" s="316">
        <f t="shared" si="1"/>
        <v>-7.3435099532537684E-2</v>
      </c>
      <c r="AD34" s="316">
        <f t="shared" si="1"/>
        <v>-0.5296834178124783</v>
      </c>
      <c r="AE34" s="471">
        <f t="shared" si="1"/>
        <v>-0.1280118255660706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9F92-63E0-4816-9A4B-965E63CA782C}">
  <sheetPr>
    <tabColor rgb="FFFFFF00"/>
  </sheetPr>
  <dimension ref="A1:AT49"/>
  <sheetViews>
    <sheetView topLeftCell="A24" workbookViewId="0">
      <selection activeCell="Q24" sqref="Q24"/>
    </sheetView>
  </sheetViews>
  <sheetFormatPr defaultRowHeight="14.25" x14ac:dyDescent="0.2"/>
  <cols>
    <col min="2" max="2" width="32.25" customWidth="1"/>
    <col min="5" max="5" width="11.875" customWidth="1"/>
    <col min="6" max="6" width="10.625" bestFit="1" customWidth="1"/>
    <col min="8" max="8" width="11.875" bestFit="1" customWidth="1"/>
    <col min="22" max="22" width="11" customWidth="1"/>
    <col min="25" max="25" width="23" customWidth="1"/>
    <col min="46" max="46" width="9.875" bestFit="1" customWidth="1"/>
  </cols>
  <sheetData>
    <row r="1" spans="1:44" x14ac:dyDescent="0.2">
      <c r="E1" s="67"/>
    </row>
    <row r="2" spans="1:44" s="386" customFormat="1" ht="29.25" x14ac:dyDescent="0.2">
      <c r="B2" s="419" t="s">
        <v>428</v>
      </c>
      <c r="C2" s="381"/>
      <c r="D2" s="380"/>
      <c r="E2" s="380"/>
      <c r="F2" s="380"/>
      <c r="G2" s="380"/>
      <c r="H2" s="380"/>
      <c r="I2" s="381"/>
      <c r="J2" s="381"/>
      <c r="K2" s="380"/>
      <c r="L2" s="380"/>
      <c r="M2" s="380"/>
      <c r="N2" s="524"/>
      <c r="O2" s="420"/>
      <c r="P2" s="380"/>
      <c r="Q2" s="380"/>
      <c r="R2" s="380"/>
      <c r="S2" s="380"/>
      <c r="T2" s="380"/>
      <c r="U2" s="380"/>
      <c r="Y2" s="419" t="s">
        <v>439</v>
      </c>
      <c r="Z2" s="381"/>
      <c r="AA2" s="380"/>
      <c r="AB2" s="380"/>
      <c r="AC2" s="380"/>
      <c r="AD2" s="380"/>
      <c r="AE2" s="380"/>
      <c r="AF2" s="381"/>
      <c r="AG2" s="381"/>
      <c r="AH2" s="380"/>
      <c r="AI2" s="380"/>
      <c r="AJ2" s="380"/>
      <c r="AK2" s="524"/>
      <c r="AL2" s="420"/>
      <c r="AM2" s="380"/>
      <c r="AN2" s="380"/>
      <c r="AO2" s="380"/>
      <c r="AP2" s="380"/>
      <c r="AQ2" s="380"/>
      <c r="AR2" s="380"/>
    </row>
    <row r="3" spans="1:44" s="1" customFormat="1" ht="16.5" x14ac:dyDescent="0.2">
      <c r="B3" s="90" t="s">
        <v>325</v>
      </c>
      <c r="C3" s="91" t="s">
        <v>92</v>
      </c>
      <c r="D3" s="91" t="s">
        <v>93</v>
      </c>
      <c r="E3" s="91" t="s">
        <v>61</v>
      </c>
      <c r="F3" s="91" t="s">
        <v>62</v>
      </c>
      <c r="G3" s="91" t="s">
        <v>63</v>
      </c>
      <c r="H3" s="91" t="s">
        <v>64</v>
      </c>
      <c r="I3" s="91" t="s">
        <v>65</v>
      </c>
      <c r="J3" s="91" t="s">
        <v>66</v>
      </c>
      <c r="K3" s="91" t="s">
        <v>67</v>
      </c>
      <c r="L3" s="91" t="s">
        <v>68</v>
      </c>
      <c r="M3" s="91" t="s">
        <v>69</v>
      </c>
      <c r="N3" s="91" t="s">
        <v>94</v>
      </c>
      <c r="O3" s="92" t="s">
        <v>277</v>
      </c>
      <c r="P3" s="285" t="s">
        <v>408</v>
      </c>
      <c r="Q3" s="92" t="s">
        <v>409</v>
      </c>
      <c r="R3" s="285" t="s">
        <v>333</v>
      </c>
      <c r="S3" s="91" t="s">
        <v>410</v>
      </c>
      <c r="T3" s="91" t="s">
        <v>411</v>
      </c>
      <c r="U3" s="287" t="s">
        <v>412</v>
      </c>
      <c r="V3" s="6" t="s">
        <v>471</v>
      </c>
      <c r="X3" s="1" t="s">
        <v>322</v>
      </c>
      <c r="Y3" s="90" t="s">
        <v>325</v>
      </c>
      <c r="Z3" s="91" t="s">
        <v>92</v>
      </c>
      <c r="AA3" s="91" t="s">
        <v>93</v>
      </c>
      <c r="AB3" s="91" t="s">
        <v>61</v>
      </c>
      <c r="AC3" s="91" t="s">
        <v>62</v>
      </c>
      <c r="AD3" s="91" t="s">
        <v>63</v>
      </c>
      <c r="AE3" s="91" t="s">
        <v>64</v>
      </c>
      <c r="AF3" s="91" t="s">
        <v>65</v>
      </c>
      <c r="AG3" s="91" t="s">
        <v>66</v>
      </c>
      <c r="AH3" s="91" t="s">
        <v>67</v>
      </c>
      <c r="AI3" s="91" t="s">
        <v>68</v>
      </c>
      <c r="AJ3" s="91" t="s">
        <v>69</v>
      </c>
      <c r="AK3" s="91" t="s">
        <v>94</v>
      </c>
      <c r="AL3" s="92" t="s">
        <v>277</v>
      </c>
      <c r="AM3" s="285" t="s">
        <v>408</v>
      </c>
      <c r="AN3" s="92" t="s">
        <v>409</v>
      </c>
      <c r="AO3" s="285" t="s">
        <v>333</v>
      </c>
      <c r="AP3" s="91" t="s">
        <v>410</v>
      </c>
      <c r="AQ3" s="91" t="s">
        <v>411</v>
      </c>
      <c r="AR3" s="287" t="s">
        <v>412</v>
      </c>
    </row>
    <row r="4" spans="1:44" s="388" customFormat="1" ht="15.75" thickBot="1" x14ac:dyDescent="0.25">
      <c r="A4" s="372"/>
      <c r="B4" s="342" t="s">
        <v>326</v>
      </c>
      <c r="C4" s="351">
        <v>23226680.765000001</v>
      </c>
      <c r="D4" s="351">
        <v>16184643.320878342</v>
      </c>
      <c r="E4" s="351">
        <v>18883027.534689799</v>
      </c>
      <c r="F4" s="351">
        <v>18605315.722396392</v>
      </c>
      <c r="G4" s="351">
        <v>17245454.18193569</v>
      </c>
      <c r="H4" s="351">
        <v>17507669.333204199</v>
      </c>
      <c r="I4" s="351">
        <v>17209968.630219519</v>
      </c>
      <c r="J4" s="351">
        <v>16413118.011994272</v>
      </c>
      <c r="K4" s="351">
        <v>16708599.314886792</v>
      </c>
      <c r="L4" s="351">
        <v>16115525.73188914</v>
      </c>
      <c r="M4" s="351">
        <v>19654694.353094429</v>
      </c>
      <c r="N4" s="351">
        <v>19852333.722794421</v>
      </c>
      <c r="O4" s="352">
        <v>217607030.62298301</v>
      </c>
      <c r="P4" s="353">
        <v>111652790.85810442</v>
      </c>
      <c r="Q4" s="352">
        <v>105954239.76487857</v>
      </c>
      <c r="R4" s="353">
        <v>58294351.620568141</v>
      </c>
      <c r="S4" s="351">
        <v>53358439.237536281</v>
      </c>
      <c r="T4" s="351">
        <v>50331685.957100585</v>
      </c>
      <c r="U4" s="354">
        <v>55622553.807777993</v>
      </c>
      <c r="V4" s="525">
        <v>-12226081.18787019</v>
      </c>
      <c r="X4" s="388">
        <v>1.1200000000000001</v>
      </c>
      <c r="Y4" s="342" t="s">
        <v>326</v>
      </c>
      <c r="Z4" s="355">
        <f>'4. 实际达成与同比'!Y17*'6-12月滚动目标计算过程'!$X4/'4. 实际达成与同比'!C17</f>
        <v>0.26260349929325177</v>
      </c>
      <c r="AA4" s="355">
        <f>'4. 实际达成与同比'!Z17*'6-12月滚动目标计算过程'!$X4/'4. 实际达成与同比'!D17</f>
        <v>0.25270322515364851</v>
      </c>
      <c r="AB4" s="355">
        <f>'4. 实际达成与同比'!AA17*'6-12月滚动目标计算过程'!$X4/'4. 实际达成与同比'!E17</f>
        <v>0.26696388046298036</v>
      </c>
      <c r="AC4" s="355">
        <f>'4. 实际达成与同比'!AB17*'6-12月滚动目标计算过程'!$X4/'4. 实际达成与同比'!F17</f>
        <v>0.25427051353305485</v>
      </c>
      <c r="AD4" s="355">
        <f>'4. 实际达成与同比'!AC17*'6-12月滚动目标计算过程'!$X4/'4. 实际达成与同比'!G17</f>
        <v>0.24496444769394682</v>
      </c>
      <c r="AE4" s="355">
        <f>'4. 实际达成与同比'!AD17*'6-12月滚动目标计算过程'!$X4/'4. 实际达成与同比'!H17</f>
        <v>0.25827842050715044</v>
      </c>
      <c r="AF4" s="355">
        <f>'4. 实际达成与同比'!AE17*'6-12月滚动目标计算过程'!$X4/'4. 实际达成与同比'!I17</f>
        <v>0.25029626719065484</v>
      </c>
      <c r="AG4" s="355">
        <f>'4. 实际达成与同比'!AF17*'6-12月滚动目标计算过程'!$X4/'4. 实际达成与同比'!J17</f>
        <v>0.25068312029623274</v>
      </c>
      <c r="AH4" s="355">
        <f>'4. 实际达成与同比'!AG17*'6-12月滚动目标计算过程'!$X4/'4. 实际达成与同比'!K17</f>
        <v>0.24972121461498284</v>
      </c>
      <c r="AI4" s="355">
        <f>'4. 实际达成与同比'!AH17*'6-12月滚动目标计算过程'!$X4/'4. 实际达成与同比'!L17</f>
        <v>0.2335315363691845</v>
      </c>
      <c r="AJ4" s="355">
        <f>'4. 实际达成与同比'!AI17*'6-12月滚动目标计算过程'!$X4/'4. 实际达成与同比'!M17</f>
        <v>0.26483386574235046</v>
      </c>
      <c r="AK4" s="355">
        <f>'4. 实际达成与同比'!AJ17*'6-12月滚动目标计算过程'!$X4/'4. 实际达成与同比'!N17</f>
        <v>0.28011925075469124</v>
      </c>
      <c r="AL4" s="356">
        <f>'4. 实际达成与同比'!AK17*'6-12月滚动目标计算过程'!$X4/'4. 实际达成与同比'!O17</f>
        <v>0.25606292633542949</v>
      </c>
      <c r="AM4" s="357">
        <f>'4. 实际达成与同比'!AL17*'6-12月滚动目标计算过程'!$X4/'4. 实际达成与同比'!P17</f>
        <v>0.25691908049550605</v>
      </c>
      <c r="AN4" s="356">
        <f>'4. 实际达成与同比'!AM17*'6-12月滚动目标计算过程'!$X4/'4. 实际达成与同比'!Q17</f>
        <v>0.2551668785792589</v>
      </c>
      <c r="AO4" s="357">
        <f>'4. 实际达成与同比'!AN17*'6-12月滚动目标计算过程'!$X4/'4. 实际达成与同比'!R17</f>
        <v>0.26114465359744721</v>
      </c>
      <c r="AP4" s="355">
        <f>'4. 实际达成与同比'!AO17*'6-12月滚动目标计算过程'!$X4/'4. 实际达成与同比'!S17</f>
        <v>0.25245621391434619</v>
      </c>
      <c r="AQ4" s="355">
        <f>'4. 实际达成与同比'!AP17*'6-12月滚动目标计算过程'!$X4/'4. 实际达成与同比'!T17</f>
        <v>0.2502309023563144</v>
      </c>
      <c r="AR4" s="358">
        <f>'4. 实际达成与同比'!AQ17*'6-12月滚动目标计算过程'!$X4/'4. 实际达成与同比'!U17</f>
        <v>0.25980421782219776</v>
      </c>
    </row>
    <row r="5" spans="1:44" s="1" customFormat="1" ht="30" x14ac:dyDescent="0.2">
      <c r="A5" s="370"/>
      <c r="B5" s="320" t="s">
        <v>327</v>
      </c>
      <c r="C5" s="347">
        <v>19601680.765000001</v>
      </c>
      <c r="D5" s="347">
        <v>13951219.353999998</v>
      </c>
      <c r="E5" s="347">
        <v>15859315.39996757</v>
      </c>
      <c r="F5" s="347">
        <v>14891717.959314026</v>
      </c>
      <c r="G5" s="347">
        <v>14441552.009856788</v>
      </c>
      <c r="H5" s="347">
        <v>14253252.810023846</v>
      </c>
      <c r="I5" s="347">
        <v>14045317.537863031</v>
      </c>
      <c r="J5" s="347">
        <v>13127912.719705531</v>
      </c>
      <c r="K5" s="347">
        <v>13439764.515985955</v>
      </c>
      <c r="L5" s="347">
        <v>12949109.342952287</v>
      </c>
      <c r="M5" s="347">
        <v>15267217.710917965</v>
      </c>
      <c r="N5" s="347">
        <v>16278970.497396002</v>
      </c>
      <c r="O5" s="348">
        <v>178107030.62298301</v>
      </c>
      <c r="P5" s="349">
        <v>92998738.298162222</v>
      </c>
      <c r="Q5" s="348">
        <v>85108292.324820772</v>
      </c>
      <c r="R5" s="349">
        <v>49412215.518967569</v>
      </c>
      <c r="S5" s="347">
        <v>43586522.77919466</v>
      </c>
      <c r="T5" s="347">
        <v>40612994.773554519</v>
      </c>
      <c r="U5" s="350">
        <v>44495297.551266253</v>
      </c>
      <c r="V5" s="526">
        <v>-11995598.693187259</v>
      </c>
      <c r="X5" s="1">
        <v>1.1200000000000001</v>
      </c>
      <c r="Y5" s="320" t="s">
        <v>327</v>
      </c>
      <c r="Z5" s="359">
        <f>'4. 实际达成与同比'!Y18*'6-12月滚动目标计算过程'!$X5/'4. 实际达成与同比'!C18</f>
        <v>0.27800729183081979</v>
      </c>
      <c r="AA5" s="359">
        <f>'4. 实际达成与同比'!Z18*'6-12月滚动目标计算过程'!$X5/'4. 实际达成与同比'!D18</f>
        <v>0.26736147433260288</v>
      </c>
      <c r="AB5" s="359">
        <f>'4. 实际达成与同比'!AA18*'6-12月滚动目标计算过程'!$X5/'4. 实际达成与同比'!E18</f>
        <v>0.2880838687425567</v>
      </c>
      <c r="AC5" s="359">
        <f>'4. 实际达成与同比'!AB18*'6-12月滚动目标计算过程'!$X5/'4. 实际达成与同比'!F18</f>
        <v>0.27468301258460631</v>
      </c>
      <c r="AD5" s="359">
        <f>'4. 实际达成与同比'!AC18*'6-12月滚动目标计算过程'!$X5/'4. 实际达成与同比'!G18</f>
        <v>0.26055264065383538</v>
      </c>
      <c r="AE5" s="359">
        <f>'4. 实际达成与同比'!AD18*'6-12月滚动目标计算过程'!$X5/'4. 实际达成与同比'!H18</f>
        <v>0.28199221293842136</v>
      </c>
      <c r="AF5" s="359">
        <f>'4. 实际达成与同比'!AE18*'6-12月滚动目标计算过程'!$X5/'4. 实际达成与同比'!I18</f>
        <v>0.27318326552595035</v>
      </c>
      <c r="AG5" s="359">
        <f>'4. 实际达成与同比'!AF18*'6-12月滚动目标计算过程'!$X5/'4. 实际达成与同比'!J18</f>
        <v>0.27793844673140777</v>
      </c>
      <c r="AH5" s="359">
        <f>'4. 实际达成与同比'!AG18*'6-12月滚动目标计算过程'!$X5/'4. 实际达成与同比'!K18</f>
        <v>0.2703372082815827</v>
      </c>
      <c r="AI5" s="359">
        <f>'4. 实际达成与同比'!AH18*'6-12月滚动目标计算过程'!$X5/'4. 实际达成与同比'!L18</f>
        <v>0.25221401160092433</v>
      </c>
      <c r="AJ5" s="359">
        <f>'4. 实际达成与同比'!AI18*'6-12月滚动目标计算过程'!$X5/'4. 实际达成与同比'!M18</f>
        <v>0.29477336671450632</v>
      </c>
      <c r="AK5" s="359">
        <f>'4. 实际达成与同比'!AJ18*'6-12月滚动目标计算过程'!$X5/'4. 实际达成与同比'!N18</f>
        <v>0.31473489410252486</v>
      </c>
      <c r="AL5" s="360">
        <f>'4. 实际达成与同比'!AK18*'6-12月滚动目标计算过程'!$X5/'4. 实际达成与同比'!O18</f>
        <v>0.27779535396501231</v>
      </c>
      <c r="AM5" s="361">
        <f>'4. 实际达成与同比'!AL18*'6-12月滚动目标计算过程'!$X5/'4. 实际达成与同比'!P18</f>
        <v>0.27520477314050545</v>
      </c>
      <c r="AN5" s="360">
        <f>'4. 实际达成与同比'!AM18*'6-12月滚动目标计算过程'!$X5/'4. 实际达成与同比'!Q18</f>
        <v>0.28068245263931935</v>
      </c>
      <c r="AO5" s="361">
        <f>'4. 实际达成与同比'!AN18*'6-12月滚动目标计算过程'!$X5/'4. 实际达成与同比'!R18</f>
        <v>0.27800287745705937</v>
      </c>
      <c r="AP5" s="359">
        <f>'4. 实际达成与同比'!AO18*'6-12月滚动目标计算过程'!$X5/'4. 实际达成与同比'!S18</f>
        <v>0.27210003263449434</v>
      </c>
      <c r="AQ5" s="359">
        <f>'4. 实际达成与同比'!AP18*'6-12月滚动目标计算过程'!$X5/'4. 实际达成与同比'!T18</f>
        <v>0.27374345830321983</v>
      </c>
      <c r="AR5" s="362">
        <f>'4. 实际达成与同比'!AQ18*'6-12月滚动目标计算过程'!$X5/'4. 实际达成与同比'!U18</f>
        <v>0.28733036378338128</v>
      </c>
    </row>
    <row r="6" spans="1:44" s="1" customFormat="1" ht="16.5" x14ac:dyDescent="0.2">
      <c r="A6" s="370"/>
      <c r="B6" s="321" t="s">
        <v>328</v>
      </c>
      <c r="C6" s="338">
        <v>2850000</v>
      </c>
      <c r="D6" s="338">
        <v>1600000</v>
      </c>
      <c r="E6" s="338">
        <v>2200000</v>
      </c>
      <c r="F6" s="338">
        <v>2800000</v>
      </c>
      <c r="G6" s="338">
        <v>1900000</v>
      </c>
      <c r="H6" s="338">
        <v>2250000</v>
      </c>
      <c r="I6" s="338">
        <v>2000000</v>
      </c>
      <c r="J6" s="338">
        <v>2000000</v>
      </c>
      <c r="K6" s="338">
        <v>2300000</v>
      </c>
      <c r="L6" s="338">
        <v>1900000</v>
      </c>
      <c r="M6" s="338">
        <v>3300000</v>
      </c>
      <c r="N6" s="338">
        <v>2400000</v>
      </c>
      <c r="O6" s="339">
        <v>27500000</v>
      </c>
      <c r="P6" s="340">
        <v>13600000</v>
      </c>
      <c r="Q6" s="339">
        <v>13900000</v>
      </c>
      <c r="R6" s="340">
        <v>6650000</v>
      </c>
      <c r="S6" s="338">
        <v>6950000</v>
      </c>
      <c r="T6" s="338">
        <v>6300000</v>
      </c>
      <c r="U6" s="341">
        <v>7600000</v>
      </c>
      <c r="V6" s="527"/>
      <c r="X6" s="1">
        <v>1.1200000000000001</v>
      </c>
      <c r="Y6" s="321" t="s">
        <v>328</v>
      </c>
      <c r="Z6" s="363">
        <f>'4. 实际达成与同比'!Y19*'6-12月滚动目标计算过程'!$X6/'4. 实际达成与同比'!C19</f>
        <v>0.23006589175982822</v>
      </c>
      <c r="AA6" s="363">
        <f>'4. 实际达成与同比'!Z19*'6-12月滚动目标计算过程'!$X6/'4. 实际达成与同比'!D19</f>
        <v>0.23006589175982822</v>
      </c>
      <c r="AB6" s="363">
        <f>'4. 实际达成与同比'!AA19*'6-12月滚动目标计算过程'!$X6/'4. 实际达成与同比'!E19</f>
        <v>0.23006589175982822</v>
      </c>
      <c r="AC6" s="363">
        <f>'4. 实际达成与同比'!AB19*'6-12月滚动目标计算过程'!$X6/'4. 实际达成与同比'!F19</f>
        <v>0.23006589175982822</v>
      </c>
      <c r="AD6" s="363">
        <f>'4. 实际达成与同比'!AC19*'6-12月滚动目标计算过程'!$X6/'4. 实际达成与同比'!G19</f>
        <v>0.23006589175982825</v>
      </c>
      <c r="AE6" s="363">
        <f>'4. 实际达成与同比'!AD19*'6-12月滚动目标计算过程'!$X6/'4. 实际达成与同比'!H19</f>
        <v>0.23006589175982822</v>
      </c>
      <c r="AF6" s="363">
        <f>'4. 实际达成与同比'!AE19*'6-12月滚动目标计算过程'!$X6/'4. 实际达成与同比'!I19</f>
        <v>0.23006589175982822</v>
      </c>
      <c r="AG6" s="363">
        <f>'4. 实际达成与同比'!AF19*'6-12月滚动目标计算过程'!$X6/'4. 实际达成与同比'!J19</f>
        <v>0.23006589175982822</v>
      </c>
      <c r="AH6" s="363">
        <f>'4. 实际达成与同比'!AG19*'6-12月滚动目标计算过程'!$X6/'4. 实际达成与同比'!K19</f>
        <v>0.23006589175982825</v>
      </c>
      <c r="AI6" s="363">
        <f>'4. 实际达成与同比'!AH19*'6-12月滚动目标计算过程'!$X6/'4. 实际达成与同比'!L19</f>
        <v>0.23006589175982825</v>
      </c>
      <c r="AJ6" s="363">
        <f>'4. 实际达成与同比'!AI19*'6-12月滚动目标计算过程'!$X6/'4. 实际达成与同比'!M19</f>
        <v>0.23006589175982822</v>
      </c>
      <c r="AK6" s="363">
        <f>'4. 实际达成与同比'!AJ19*'6-12月滚动目标计算过程'!$X6/'4. 实际达成与同比'!N19</f>
        <v>0.23006589175982822</v>
      </c>
      <c r="AL6" s="364">
        <f>'4. 实际达成与同比'!AK19*'6-12月滚动目标计算过程'!$X6/'4. 实际达成与同比'!O19</f>
        <v>0.23006589175982822</v>
      </c>
      <c r="AM6" s="365">
        <f>'4. 实际达成与同比'!AL19*'6-12月滚动目标计算过程'!$X6/'4. 实际达成与同比'!P19</f>
        <v>0.23006589175982822</v>
      </c>
      <c r="AN6" s="364">
        <f>'4. 实际达成与同比'!AM19*'6-12月滚动目标计算过程'!$X6/'4. 实际达成与同比'!Q19</f>
        <v>0.23006589175982825</v>
      </c>
      <c r="AO6" s="365">
        <f>'4. 实际达成与同比'!AN19*'6-12月滚动目标计算过程'!$X6/'4. 实际达成与同比'!R19</f>
        <v>0.23006589175982822</v>
      </c>
      <c r="AP6" s="363">
        <f>'4. 实际达成与同比'!AO19*'6-12月滚动目标计算过程'!$X6/'4. 实际达成与同比'!S19</f>
        <v>0.23006589175982825</v>
      </c>
      <c r="AQ6" s="363">
        <f>'4. 实际达成与同比'!AP19*'6-12月滚动目标计算过程'!$X6/'4. 实际达成与同比'!T19</f>
        <v>0.23006589175982825</v>
      </c>
      <c r="AR6" s="366">
        <f>'4. 实际达成与同比'!AQ19*'6-12月滚动目标计算过程'!$X6/'4. 实际达成与同比'!U19</f>
        <v>0.23006589175982819</v>
      </c>
    </row>
    <row r="7" spans="1:44" s="1" customFormat="1" ht="17.25" thickBot="1" x14ac:dyDescent="0.25">
      <c r="A7" s="370"/>
      <c r="B7" s="343" t="s">
        <v>285</v>
      </c>
      <c r="C7" s="302">
        <v>775000</v>
      </c>
      <c r="D7" s="302">
        <v>633423.96687834384</v>
      </c>
      <c r="E7" s="302">
        <v>823712.13472223061</v>
      </c>
      <c r="F7" s="302">
        <v>913597.76308236772</v>
      </c>
      <c r="G7" s="302">
        <v>903902.17207890179</v>
      </c>
      <c r="H7" s="302">
        <v>1004416.5231803521</v>
      </c>
      <c r="I7" s="302">
        <v>1164651.092356489</v>
      </c>
      <c r="J7" s="302">
        <v>1285205.2922887402</v>
      </c>
      <c r="K7" s="302">
        <v>968834.79890083754</v>
      </c>
      <c r="L7" s="302">
        <v>1266416.3889368523</v>
      </c>
      <c r="M7" s="302">
        <v>1087476.6421764651</v>
      </c>
      <c r="N7" s="302">
        <v>1173363.2253984194</v>
      </c>
      <c r="O7" s="344">
        <v>12000000</v>
      </c>
      <c r="P7" s="345">
        <v>5054052.5599421961</v>
      </c>
      <c r="Q7" s="344">
        <v>6945947.4400578039</v>
      </c>
      <c r="R7" s="345">
        <v>2232136.1016005743</v>
      </c>
      <c r="S7" s="302">
        <v>2821916.4583416218</v>
      </c>
      <c r="T7" s="302">
        <v>3418691.1835460667</v>
      </c>
      <c r="U7" s="346">
        <v>3527256.2565117367</v>
      </c>
      <c r="V7" s="529">
        <v>-315443.29468293907</v>
      </c>
      <c r="X7" s="1">
        <v>1.1200000000000001</v>
      </c>
      <c r="Y7" s="343" t="s">
        <v>285</v>
      </c>
      <c r="Z7" s="316">
        <f>'4. 实际达成与同比'!Y20*'6-12月滚动目标计算过程'!$X7/'4. 实际达成与同比'!C20</f>
        <v>0.13958504106580005</v>
      </c>
      <c r="AA7" s="316">
        <f>'4. 实际达成与同比'!Z20*'6-12月滚动目标计算过程'!$X7/'4. 实际达成与同比'!D20</f>
        <v>0.12899622088649862</v>
      </c>
      <c r="AB7" s="316">
        <f>'4. 实际达成与同比'!AA20*'6-12月滚动目标计算过程'!$X7/'4. 实际达成与同比'!E20</f>
        <v>0.13461538461538464</v>
      </c>
      <c r="AC7" s="316">
        <f>'4. 实际达成与同比'!AB20*'6-12月滚动目标计算过程'!$X7/'4. 实际达成与同比'!F20</f>
        <v>0.13461538461538464</v>
      </c>
      <c r="AD7" s="316">
        <f>'4. 实际达成与同比'!AC20*'6-12月滚动目标计算过程'!$X7/'4. 实际达成与同比'!G20</f>
        <v>0.13461538461538461</v>
      </c>
      <c r="AE7" s="316">
        <f>'4. 实际达成与同比'!AD20*'6-12月滚动目标计算过程'!$X7/'4. 实际达成与同比'!H20</f>
        <v>0.13461538461538464</v>
      </c>
      <c r="AF7" s="316">
        <f>'4. 实际达成与同比'!AE20*'6-12月滚动目标计算过程'!$X7/'4. 实际达成与同比'!I20</f>
        <v>0.13461538461538461</v>
      </c>
      <c r="AG7" s="316">
        <f>'4. 实际达成与同比'!AF20*'6-12月滚动目标计算过程'!$X7/'4. 实际达成与同比'!J20</f>
        <v>0.13461538461538464</v>
      </c>
      <c r="AH7" s="316">
        <f>'4. 实际达成与同比'!AG20*'6-12月滚动目标计算过程'!$X7/'4. 实际达成与同比'!K20</f>
        <v>0.13461538461538464</v>
      </c>
      <c r="AI7" s="316">
        <f>'4. 实际达成与同比'!AH20*'6-12月滚动目标计算过程'!$X7/'4. 实际达成与同比'!L20</f>
        <v>0.13461538461538461</v>
      </c>
      <c r="AJ7" s="316">
        <f>'4. 实际达成与同比'!AI20*'6-12月滚动目标计算过程'!$X7/'4. 实际达成与同比'!M20</f>
        <v>0.13461538461538464</v>
      </c>
      <c r="AK7" s="316">
        <f>'4. 实际达成与同比'!AJ20*'6-12月滚动目标计算过程'!$X7/'4. 实际达成与同比'!N20</f>
        <v>0.13461538461538464</v>
      </c>
      <c r="AL7" s="367">
        <f>'4. 实际达成与同比'!AK20*'6-12月滚动目标计算过程'!$X7/'4. 实际达成与同比'!O20</f>
        <v>0.13461538461538464</v>
      </c>
      <c r="AM7" s="368">
        <f>'4. 实际达成与同比'!AL20*'6-12月滚动目标计算过程'!$X7/'4. 实际达成与同比'!P20</f>
        <v>0.13461538461538464</v>
      </c>
      <c r="AN7" s="367">
        <f>'4. 实际达成与同比'!AM20*'6-12月滚动目标计算过程'!$X7/'4. 实际达成与同比'!Q20</f>
        <v>0.13461538461538461</v>
      </c>
      <c r="AO7" s="368">
        <f>'4. 实际达成与同比'!AN20*'6-12月滚动目标计算过程'!$X7/'4. 实际达成与同比'!R20</f>
        <v>0.13461538461538461</v>
      </c>
      <c r="AP7" s="316">
        <f>'4. 实际达成与同比'!AO20*'6-12月滚动目标计算过程'!$X7/'4. 实际达成与同比'!S20</f>
        <v>0.13461538461538464</v>
      </c>
      <c r="AQ7" s="316">
        <f>'4. 实际达成与同比'!AP20*'6-12月滚动目标计算过程'!$X7/'4. 实际达成与同比'!T20</f>
        <v>0.13461538461538461</v>
      </c>
      <c r="AR7" s="369">
        <f>'4. 实际达成与同比'!AQ20*'6-12月滚动目标计算过程'!$X7/'4. 实际达成与同比'!U20</f>
        <v>0.13461538461538464</v>
      </c>
    </row>
    <row r="8" spans="1:44" s="74" customFormat="1" ht="30" x14ac:dyDescent="0.2">
      <c r="B8" s="320" t="s">
        <v>394</v>
      </c>
      <c r="C8" s="458">
        <v>20904012.688500002</v>
      </c>
      <c r="D8" s="458">
        <v>14566178.988790508</v>
      </c>
      <c r="E8" s="458">
        <v>16994724.78122082</v>
      </c>
      <c r="F8" s="458">
        <v>16744784.150156753</v>
      </c>
      <c r="G8" s="458">
        <v>15520908.763742121</v>
      </c>
      <c r="H8" s="458">
        <v>15756902.399883779</v>
      </c>
      <c r="I8" s="458">
        <v>15488971.767197568</v>
      </c>
      <c r="J8" s="458">
        <v>14771806.210794846</v>
      </c>
      <c r="K8" s="458">
        <v>15037739.383398112</v>
      </c>
      <c r="L8" s="458">
        <v>14503973.158700226</v>
      </c>
      <c r="M8" s="458">
        <v>17689224.917784985</v>
      </c>
      <c r="N8" s="458">
        <v>17867100.350514978</v>
      </c>
      <c r="O8" s="459">
        <v>195846327.56068471</v>
      </c>
      <c r="P8" s="460">
        <v>100487511.77229398</v>
      </c>
      <c r="Q8" s="459">
        <v>95358815.788390711</v>
      </c>
      <c r="R8" s="460">
        <v>52464916.45851133</v>
      </c>
      <c r="S8" s="458">
        <v>48022595.313782655</v>
      </c>
      <c r="T8" s="458">
        <v>45298517.361390531</v>
      </c>
      <c r="U8" s="461">
        <v>50060298.427000195</v>
      </c>
      <c r="V8" s="528">
        <v>-10680320.093573749</v>
      </c>
      <c r="X8" s="1">
        <v>1.1200000000000001</v>
      </c>
      <c r="Y8" s="320" t="s">
        <v>394</v>
      </c>
      <c r="Z8" s="467">
        <f>'4. 实际达成与同比'!Y21*'6-12月滚动目标计算过程'!$X8/'4. 实际达成与同比'!C21</f>
        <v>0.27500000000000002</v>
      </c>
      <c r="AA8" s="467">
        <f>'4. 实际达成与同比'!Z21*'6-12月滚动目标计算过程'!$X8/'4. 实际达成与同比'!D21</f>
        <v>0.27500000000000002</v>
      </c>
      <c r="AB8" s="467">
        <f>'4. 实际达成与同比'!AA21*'6-12月滚动目标计算过程'!$X8/'4. 实际达成与同比'!E21</f>
        <v>0.27500000000000002</v>
      </c>
      <c r="AC8" s="467">
        <f>'4. 实际达成与同比'!AB21*'6-12月滚动目标计算过程'!$X8/'4. 实际达成与同比'!F21</f>
        <v>0.27500000000000002</v>
      </c>
      <c r="AD8" s="467">
        <f>'4. 实际达成与同比'!AC21*'6-12月滚动目标计算过程'!$X8/'4. 实际达成与同比'!G21</f>
        <v>0.27500000000000002</v>
      </c>
      <c r="AE8" s="467">
        <f>'4. 实际达成与同比'!AD21*'6-12月滚动目标计算过程'!$X8/'4. 实际达成与同比'!H21</f>
        <v>0.27500000000000002</v>
      </c>
      <c r="AF8" s="467">
        <f>'4. 实际达成与同比'!AE21*'6-12月滚动目标计算过程'!$X8/'4. 实际达成与同比'!I21</f>
        <v>0.27500000000000002</v>
      </c>
      <c r="AG8" s="467">
        <f>'4. 实际达成与同比'!AF21*'6-12月滚动目标计算过程'!$X8/'4. 实际达成与同比'!J21</f>
        <v>0.27500000000000002</v>
      </c>
      <c r="AH8" s="467">
        <f>'4. 实际达成与同比'!AG21*'6-12月滚动目标计算过程'!$X8/'4. 实际达成与同比'!K21</f>
        <v>0.27500000000000002</v>
      </c>
      <c r="AI8" s="467">
        <f>'4. 实际达成与同比'!AH21*'6-12月滚动目标计算过程'!$X8/'4. 实际达成与同比'!L21</f>
        <v>0.27500000000000002</v>
      </c>
      <c r="AJ8" s="467">
        <f>'4. 实际达成与同比'!AI21*'6-12月滚动目标计算过程'!$X8/'4. 实际达成与同比'!M21</f>
        <v>0.27500000000000002</v>
      </c>
      <c r="AK8" s="467">
        <f>'4. 实际达成与同比'!AJ21*'6-12月滚动目标计算过程'!$X8/'4. 实际达成与同比'!N21</f>
        <v>0.27500000000000002</v>
      </c>
      <c r="AL8" s="468">
        <f>'4. 实际达成与同比'!AK21*'6-12月滚动目标计算过程'!$X8/'4. 实际达成与同比'!O21</f>
        <v>0.27500000000000002</v>
      </c>
      <c r="AM8" s="469">
        <f>'4. 实际达成与同比'!AL21*'6-12月滚动目标计算过程'!$X8/'4. 实际达成与同比'!P21</f>
        <v>0.27500000000000002</v>
      </c>
      <c r="AN8" s="468">
        <f>'4. 实际达成与同比'!AM21*'6-12月滚动目标计算过程'!$X8/'4. 实际达成与同比'!Q21</f>
        <v>0.27499999999999997</v>
      </c>
      <c r="AO8" s="469">
        <f>'4. 实际达成与同比'!AN21*'6-12月滚动目标计算过程'!$X8/'4. 实际达成与同比'!R21</f>
        <v>0.27500000000000002</v>
      </c>
      <c r="AP8" s="467">
        <f>'4. 实际达成与同比'!AO21*'6-12月滚动目标计算过程'!$X8/'4. 实际达成与同比'!S21</f>
        <v>0.27499999999999997</v>
      </c>
      <c r="AQ8" s="467">
        <f>'4. 实际达成与同比'!AP21*'6-12月滚动目标计算过程'!$X8/'4. 实际达成与同比'!T21</f>
        <v>0.27500000000000008</v>
      </c>
      <c r="AR8" s="470">
        <f>'4. 实际达成与同比'!AQ21*'6-12月滚动目标计算过程'!$X8/'4. 实际达成与同比'!U21</f>
        <v>0.27500000000000008</v>
      </c>
    </row>
    <row r="9" spans="1:44" s="74" customFormat="1" ht="17.25" thickBot="1" x14ac:dyDescent="0.25">
      <c r="B9" s="343" t="s">
        <v>396</v>
      </c>
      <c r="C9" s="302">
        <v>2322668.0765</v>
      </c>
      <c r="D9" s="302">
        <v>1618464.3320878344</v>
      </c>
      <c r="E9" s="302">
        <v>1888302.7534689801</v>
      </c>
      <c r="F9" s="302">
        <v>1860531.5722396392</v>
      </c>
      <c r="G9" s="302">
        <v>1724545.4181935692</v>
      </c>
      <c r="H9" s="302">
        <v>1750766.9333204199</v>
      </c>
      <c r="I9" s="302">
        <v>1720996.8630219521</v>
      </c>
      <c r="J9" s="302">
        <v>1641311.8011994273</v>
      </c>
      <c r="K9" s="302">
        <v>1670859.9314886793</v>
      </c>
      <c r="L9" s="302">
        <v>1611552.573188914</v>
      </c>
      <c r="M9" s="302">
        <v>1965469.4353094429</v>
      </c>
      <c r="N9" s="302">
        <v>1985233.3722794421</v>
      </c>
      <c r="O9" s="462">
        <v>21760703.062298302</v>
      </c>
      <c r="P9" s="463">
        <v>11165279.085810443</v>
      </c>
      <c r="Q9" s="462">
        <v>10595423.976487858</v>
      </c>
      <c r="R9" s="463">
        <v>5829435.1620568149</v>
      </c>
      <c r="S9" s="464">
        <v>5335843.9237536285</v>
      </c>
      <c r="T9" s="464">
        <v>5033168.5957100587</v>
      </c>
      <c r="U9" s="465">
        <v>5562255.3807777995</v>
      </c>
      <c r="V9" s="529">
        <v>-2192442.7342964541</v>
      </c>
      <c r="X9" s="1">
        <v>1.1200000000000001</v>
      </c>
      <c r="Y9" s="343" t="s">
        <v>396</v>
      </c>
      <c r="Z9" s="316">
        <f>'4. 实际达成与同比'!Y22*'6-12月滚动目标计算过程'!$X9/'4. 实际达成与同比'!C22</f>
        <v>0.18681284459902295</v>
      </c>
      <c r="AA9" s="316">
        <f>'4. 实际达成与同比'!Z22*'6-12月滚动目标计算过程'!$X9/'4. 实际达成与同比'!D22</f>
        <v>0.14609549619730225</v>
      </c>
      <c r="AB9" s="316">
        <f>'4. 实际达成与同比'!AA22*'6-12月滚动目标计算过程'!$X9/'4. 实际达成与同比'!E22</f>
        <v>0.21137278081983776</v>
      </c>
      <c r="AC9" s="316">
        <f>'4. 实际达成与同比'!AB22*'6-12月滚动目标计算过程'!$X9/'4. 实际达成与同比'!F22</f>
        <v>0.15149401260098749</v>
      </c>
      <c r="AD9" s="316">
        <f>'4. 实际达成与同比'!AC22*'6-12月滚动目标计算过程'!$X9/'4. 实际达成与同比'!G22</f>
        <v>0.12353338723801377</v>
      </c>
      <c r="AE9" s="316">
        <f>'4. 实际达成与同比'!AD22*'6-12月滚动目标计算过程'!$X9/'4. 实际达成与同比'!H22</f>
        <v>0.16692721795699422</v>
      </c>
      <c r="AF9" s="316">
        <f>'4. 实际达成与同比'!AE22*'6-12月滚动目标计算过程'!$X9/'4. 实际达成与同比'!I22</f>
        <v>0.1384010131833332</v>
      </c>
      <c r="AG9" s="316">
        <f>'4. 实际达成与同比'!AF22*'6-12月滚动目标计算过程'!$X9/'4. 实际达成与同比'!J22</f>
        <v>0.13959216449665715</v>
      </c>
      <c r="AH9" s="316">
        <f>'4. 实际达成与同比'!AG22*'6-12月滚动目标计算过程'!$X9/'4. 实际达成与同比'!K22</f>
        <v>0.13666088500427179</v>
      </c>
      <c r="AI9" s="316">
        <f>'4. 实际达成与同比'!AH22*'6-12月滚动目标计算过程'!$X9/'4. 实际达成与同比'!L22</f>
        <v>9.9073696721067264E-2</v>
      </c>
      <c r="AJ9" s="316">
        <f>'4. 实际达成与同比'!AI22*'6-12月滚动目标计算过程'!$X9/'4. 实际达成与同比'!M22</f>
        <v>0.19871832271210985</v>
      </c>
      <c r="AK9" s="316">
        <f>'4. 实际达成与同比'!AJ22*'6-12月滚动目标计算过程'!$X9/'4. 实际达成与同比'!N22</f>
        <v>0.33649539096279124</v>
      </c>
      <c r="AL9" s="471">
        <f>'4. 实际达成与同比'!AK22*'6-12月滚动目标计算过程'!$X9/'4. 实际达成与同比'!O22</f>
        <v>0.15808707467451913</v>
      </c>
      <c r="AM9" s="472">
        <f>'4. 实际达成与同比'!AL22*'6-12月滚动目标计算过程'!$X9/'4. 实际达成与同比'!P22</f>
        <v>0.16140777528943509</v>
      </c>
      <c r="AN9" s="471">
        <f>'4. 实际达成与同比'!AM22*'6-12月滚动目标计算过程'!$X9/'4. 实际达成与同比'!Q22</f>
        <v>0.1547324955174734</v>
      </c>
      <c r="AO9" s="472">
        <f>'4. 实际达成与同比'!AN22*'6-12月滚动目标计算过程'!$X9/'4. 实际达成与同比'!R22</f>
        <v>0.17967254928890844</v>
      </c>
      <c r="AP9" s="473">
        <f>'4. 实际达成与同比'!AO22*'6-12月滚动目标计算过程'!$X9/'4. 实际达成与同比'!S22</f>
        <v>0.14527373845287733</v>
      </c>
      <c r="AQ9" s="473">
        <f>'4. 实际达成与同比'!AP22*'6-12月滚动目标计算过程'!$X9/'4. 实际达成与同比'!T22</f>
        <v>0.13820139479464513</v>
      </c>
      <c r="AR9" s="474">
        <f>'4. 实际达成与同比'!AQ22*'6-12月滚动目标计算过程'!$X9/'4. 实际达成与同比'!U22</f>
        <v>0.17351322615963194</v>
      </c>
    </row>
    <row r="10" spans="1:44" ht="16.5" x14ac:dyDescent="0.2">
      <c r="A10" t="s">
        <v>441</v>
      </c>
      <c r="B10" s="322" t="s">
        <v>442</v>
      </c>
      <c r="C10" s="302">
        <v>35750000</v>
      </c>
      <c r="D10" s="302">
        <v>22750000</v>
      </c>
      <c r="E10" s="302">
        <v>32500000</v>
      </c>
      <c r="F10" s="302">
        <v>52000000</v>
      </c>
      <c r="G10" s="302">
        <v>55250000</v>
      </c>
      <c r="H10" s="302">
        <v>61750000</v>
      </c>
      <c r="I10" s="302">
        <v>58500000</v>
      </c>
      <c r="J10" s="302">
        <v>61750000</v>
      </c>
      <c r="K10" s="302">
        <v>61750000</v>
      </c>
      <c r="L10" s="302">
        <v>55250000</v>
      </c>
      <c r="M10" s="302">
        <v>84500000</v>
      </c>
      <c r="N10" s="302">
        <v>68250000</v>
      </c>
      <c r="O10" s="302">
        <f t="shared" ref="O10" si="0">SUM(C10:N10)</f>
        <v>650000000</v>
      </c>
      <c r="P10" s="462">
        <f t="shared" ref="P10" si="1">SUM(C10:H10)</f>
        <v>260000000</v>
      </c>
      <c r="Q10" s="463">
        <f t="shared" ref="Q10" si="2">SUM(I10:N10)</f>
        <v>390000000</v>
      </c>
      <c r="R10" s="462">
        <f t="shared" ref="R10" si="3">SUM(C10:E10)</f>
        <v>91000000</v>
      </c>
      <c r="S10" s="463">
        <f t="shared" ref="S10" si="4">SUM(F10:H10)</f>
        <v>169000000</v>
      </c>
      <c r="T10" s="464">
        <f t="shared" ref="T10" si="5">SUM(I10:K10)</f>
        <v>182000000</v>
      </c>
      <c r="U10" s="464">
        <f t="shared" ref="U10" si="6">SUM(L10:N10)</f>
        <v>208000000</v>
      </c>
      <c r="V10" s="525">
        <v>-41233382.849999994</v>
      </c>
      <c r="W10" s="524"/>
    </row>
    <row r="12" spans="1:44" ht="15" x14ac:dyDescent="0.2">
      <c r="B12" s="425" t="s">
        <v>435</v>
      </c>
      <c r="C12" s="524"/>
      <c r="D12" s="524"/>
      <c r="E12" s="91"/>
      <c r="F12" s="91"/>
      <c r="G12" s="91"/>
      <c r="H12" s="91" t="s">
        <v>64</v>
      </c>
      <c r="I12" s="91" t="s">
        <v>65</v>
      </c>
      <c r="J12" s="91" t="s">
        <v>66</v>
      </c>
      <c r="K12" s="91" t="s">
        <v>67</v>
      </c>
      <c r="L12" s="91" t="s">
        <v>68</v>
      </c>
      <c r="M12" s="91" t="s">
        <v>69</v>
      </c>
      <c r="N12" s="91" t="s">
        <v>94</v>
      </c>
      <c r="O12" s="524"/>
      <c r="P12" s="524"/>
      <c r="Q12" s="524"/>
      <c r="R12" s="524"/>
      <c r="S12" s="524"/>
      <c r="T12" s="524"/>
      <c r="U12" s="524"/>
      <c r="V12" s="524"/>
    </row>
    <row r="13" spans="1:44" ht="15" x14ac:dyDescent="0.2">
      <c r="B13" s="342" t="s">
        <v>326</v>
      </c>
      <c r="C13" s="524"/>
      <c r="D13" s="524"/>
      <c r="E13" s="67"/>
      <c r="F13" s="67"/>
      <c r="G13" s="67"/>
      <c r="H13" s="67">
        <f>H4/$V13</f>
        <v>0.14180624178827048</v>
      </c>
      <c r="I13" s="67">
        <f t="shared" ref="I13:N13" si="7">I4/$V13</f>
        <v>0.13939496607449406</v>
      </c>
      <c r="J13" s="67">
        <f t="shared" si="7"/>
        <v>0.13294074368277486</v>
      </c>
      <c r="K13" s="67">
        <f t="shared" si="7"/>
        <v>0.13533404300117255</v>
      </c>
      <c r="L13" s="67">
        <f t="shared" si="7"/>
        <v>0.13053034615790982</v>
      </c>
      <c r="M13" s="67">
        <f t="shared" si="7"/>
        <v>0.15919642338820469</v>
      </c>
      <c r="N13" s="67">
        <f t="shared" si="7"/>
        <v>0.16079723590717346</v>
      </c>
      <c r="O13" s="524"/>
      <c r="P13" s="524"/>
      <c r="Q13" s="524"/>
      <c r="R13" s="524"/>
      <c r="S13" s="524"/>
      <c r="T13" s="524"/>
      <c r="U13" s="524"/>
      <c r="V13" s="61">
        <f>SUM(H4:N4)</f>
        <v>123461909.09808278</v>
      </c>
    </row>
    <row r="14" spans="1:44" ht="30" x14ac:dyDescent="0.2">
      <c r="B14" s="320" t="s">
        <v>327</v>
      </c>
      <c r="C14" s="524"/>
      <c r="D14" s="524"/>
      <c r="E14" s="67"/>
      <c r="F14" s="67"/>
      <c r="G14" s="67"/>
      <c r="H14" s="67">
        <f t="shared" ref="H14:N14" si="8">H5/$V14</f>
        <v>0.14344838126943985</v>
      </c>
      <c r="I14" s="67">
        <f t="shared" si="8"/>
        <v>0.14135566751505305</v>
      </c>
      <c r="J14" s="67">
        <f t="shared" si="8"/>
        <v>0.13212267081685877</v>
      </c>
      <c r="K14" s="67">
        <f t="shared" si="8"/>
        <v>0.13526122704459462</v>
      </c>
      <c r="L14" s="67">
        <f t="shared" si="8"/>
        <v>0.13032314790776364</v>
      </c>
      <c r="M14" s="67">
        <f t="shared" si="8"/>
        <v>0.15365318333363939</v>
      </c>
      <c r="N14" s="67">
        <f t="shared" si="8"/>
        <v>0.16383572211265068</v>
      </c>
      <c r="O14" s="524"/>
      <c r="P14" s="524"/>
      <c r="Q14" s="524"/>
      <c r="R14" s="524"/>
      <c r="S14" s="524"/>
      <c r="T14" s="524"/>
      <c r="U14" s="524"/>
      <c r="V14" s="61">
        <f t="shared" ref="V14:V18" si="9">SUM(H5:N5)</f>
        <v>99361545.134844616</v>
      </c>
    </row>
    <row r="15" spans="1:44" ht="15" x14ac:dyDescent="0.2">
      <c r="B15" s="321" t="s">
        <v>328</v>
      </c>
      <c r="C15" s="524"/>
      <c r="D15" s="524"/>
      <c r="E15" s="67"/>
      <c r="F15" s="67"/>
      <c r="G15" s="67"/>
      <c r="H15" s="67">
        <f t="shared" ref="H15:N15" si="10">H6/$V15</f>
        <v>0.13931888544891641</v>
      </c>
      <c r="I15" s="67">
        <f t="shared" si="10"/>
        <v>0.1238390092879257</v>
      </c>
      <c r="J15" s="67">
        <f t="shared" si="10"/>
        <v>0.1238390092879257</v>
      </c>
      <c r="K15" s="67">
        <f t="shared" si="10"/>
        <v>0.14241486068111456</v>
      </c>
      <c r="L15" s="67">
        <f t="shared" si="10"/>
        <v>0.11764705882352941</v>
      </c>
      <c r="M15" s="67">
        <f t="shared" si="10"/>
        <v>0.2043343653250774</v>
      </c>
      <c r="N15" s="67">
        <f t="shared" si="10"/>
        <v>0.14860681114551083</v>
      </c>
      <c r="O15" s="524"/>
      <c r="P15" s="524"/>
      <c r="Q15" s="524"/>
      <c r="R15" s="524"/>
      <c r="S15" s="524"/>
      <c r="T15" s="524"/>
      <c r="U15" s="524"/>
      <c r="V15" s="61">
        <f t="shared" si="9"/>
        <v>16150000</v>
      </c>
    </row>
    <row r="16" spans="1:44" ht="15" x14ac:dyDescent="0.2">
      <c r="B16" s="343" t="s">
        <v>285</v>
      </c>
      <c r="C16" s="524"/>
      <c r="D16" s="524"/>
      <c r="E16" s="67"/>
      <c r="F16" s="67"/>
      <c r="G16" s="67"/>
      <c r="H16" s="67">
        <f t="shared" ref="H16:N16" si="11">H7/$V16</f>
        <v>0.12633591717620646</v>
      </c>
      <c r="I16" s="67">
        <f t="shared" si="11"/>
        <v>0.14649028619843596</v>
      </c>
      <c r="J16" s="67">
        <f t="shared" si="11"/>
        <v>0.16165364230259474</v>
      </c>
      <c r="K16" s="67">
        <f t="shared" si="11"/>
        <v>0.12186043348212131</v>
      </c>
      <c r="L16" s="67">
        <f t="shared" si="11"/>
        <v>0.15929036642758243</v>
      </c>
      <c r="M16" s="67">
        <f t="shared" si="11"/>
        <v>0.13678325259131152</v>
      </c>
      <c r="N16" s="67">
        <f t="shared" si="11"/>
        <v>0.14758610182174764</v>
      </c>
      <c r="O16" s="524"/>
      <c r="P16" s="524"/>
      <c r="Q16" s="524"/>
      <c r="R16" s="524"/>
      <c r="S16" s="524"/>
      <c r="T16" s="524"/>
      <c r="U16" s="524"/>
      <c r="V16" s="61">
        <f t="shared" si="9"/>
        <v>7950363.9632381555</v>
      </c>
    </row>
    <row r="17" spans="2:44" ht="15" x14ac:dyDescent="0.2">
      <c r="B17" s="320" t="s">
        <v>394</v>
      </c>
      <c r="C17" s="524"/>
      <c r="D17" s="524"/>
      <c r="E17" s="67"/>
      <c r="F17" s="67"/>
      <c r="G17" s="67"/>
      <c r="H17" s="67">
        <f t="shared" ref="H17:N17" si="12">H8/$V17</f>
        <v>0.14180624178827048</v>
      </c>
      <c r="I17" s="67">
        <f t="shared" si="12"/>
        <v>0.13939496607449406</v>
      </c>
      <c r="J17" s="67">
        <f t="shared" si="12"/>
        <v>0.13294074368277486</v>
      </c>
      <c r="K17" s="67">
        <f t="shared" si="12"/>
        <v>0.13533404300117255</v>
      </c>
      <c r="L17" s="67">
        <f t="shared" si="12"/>
        <v>0.13053034615790982</v>
      </c>
      <c r="M17" s="67">
        <f t="shared" si="12"/>
        <v>0.15919642338820469</v>
      </c>
      <c r="N17" s="67">
        <f t="shared" si="12"/>
        <v>0.16079723590717343</v>
      </c>
      <c r="O17" s="524"/>
      <c r="P17" s="524"/>
      <c r="Q17" s="524"/>
      <c r="R17" s="524"/>
      <c r="S17" s="524"/>
      <c r="T17" s="524"/>
      <c r="U17" s="524"/>
      <c r="V17" s="61">
        <f t="shared" si="9"/>
        <v>111115718.1882745</v>
      </c>
    </row>
    <row r="18" spans="2:44" ht="15" x14ac:dyDescent="0.2">
      <c r="B18" s="343" t="s">
        <v>396</v>
      </c>
      <c r="C18" s="524"/>
      <c r="D18" s="524"/>
      <c r="E18" s="67"/>
      <c r="F18" s="67"/>
      <c r="G18" s="67"/>
      <c r="H18" s="67">
        <f t="shared" ref="H18:N18" si="13">H9/$V18</f>
        <v>0.14180624178827048</v>
      </c>
      <c r="I18" s="67">
        <f t="shared" si="13"/>
        <v>0.13939496607449406</v>
      </c>
      <c r="J18" s="67">
        <f t="shared" si="13"/>
        <v>0.13294074368277484</v>
      </c>
      <c r="K18" s="67">
        <f t="shared" si="13"/>
        <v>0.13533404300117255</v>
      </c>
      <c r="L18" s="67">
        <f t="shared" si="13"/>
        <v>0.13053034615790979</v>
      </c>
      <c r="M18" s="67">
        <f t="shared" si="13"/>
        <v>0.15919642338820469</v>
      </c>
      <c r="N18" s="67">
        <f t="shared" si="13"/>
        <v>0.16079723590717343</v>
      </c>
      <c r="O18" s="524"/>
      <c r="P18" s="524"/>
      <c r="Q18" s="524"/>
      <c r="R18" s="524"/>
      <c r="S18" s="524"/>
      <c r="T18" s="524"/>
      <c r="U18" s="524"/>
      <c r="V18" s="61">
        <f t="shared" si="9"/>
        <v>12346190.90980828</v>
      </c>
    </row>
    <row r="19" spans="2:44" ht="15" x14ac:dyDescent="0.2">
      <c r="B19" s="531" t="s">
        <v>442</v>
      </c>
      <c r="E19" s="67"/>
      <c r="F19" s="67"/>
      <c r="G19" s="67"/>
      <c r="H19" s="67">
        <f t="shared" ref="H19:N19" si="14">H10/$V19</f>
        <v>0.1366906474820144</v>
      </c>
      <c r="I19" s="67">
        <f t="shared" si="14"/>
        <v>0.12949640287769784</v>
      </c>
      <c r="J19" s="67">
        <f t="shared" si="14"/>
        <v>0.1366906474820144</v>
      </c>
      <c r="K19" s="67">
        <f t="shared" si="14"/>
        <v>0.1366906474820144</v>
      </c>
      <c r="L19" s="67">
        <f t="shared" si="14"/>
        <v>0.1223021582733813</v>
      </c>
      <c r="M19" s="67">
        <f t="shared" si="14"/>
        <v>0.18705035971223022</v>
      </c>
      <c r="N19" s="67">
        <f t="shared" si="14"/>
        <v>0.15107913669064749</v>
      </c>
      <c r="V19" s="61">
        <f>SUM(H10:N10)</f>
        <v>451750000</v>
      </c>
    </row>
    <row r="21" spans="2:44" ht="15" x14ac:dyDescent="0.2">
      <c r="B21" s="425" t="s">
        <v>436</v>
      </c>
      <c r="C21" s="524"/>
      <c r="D21" s="524"/>
      <c r="E21" s="91"/>
      <c r="F21" s="91"/>
      <c r="G21" s="91"/>
      <c r="H21" s="91" t="s">
        <v>64</v>
      </c>
      <c r="I21" s="91" t="s">
        <v>65</v>
      </c>
      <c r="J21" s="91" t="s">
        <v>66</v>
      </c>
      <c r="K21" s="91" t="s">
        <v>67</v>
      </c>
      <c r="L21" s="91" t="s">
        <v>68</v>
      </c>
      <c r="M21" s="91" t="s">
        <v>69</v>
      </c>
      <c r="N21" s="91" t="s">
        <v>94</v>
      </c>
      <c r="V21" t="s">
        <v>467</v>
      </c>
    </row>
    <row r="22" spans="2:44" ht="15" x14ac:dyDescent="0.2">
      <c r="B22" s="342" t="s">
        <v>326</v>
      </c>
      <c r="E22" s="61"/>
      <c r="F22" s="61"/>
      <c r="G22" s="61"/>
      <c r="H22" s="61">
        <f>H13*ABS($V4)</f>
        <v>1733734.6250501452</v>
      </c>
      <c r="I22" s="61">
        <f t="shared" ref="I22:N22" si="15">I13*ABS($V4)</f>
        <v>1704254.1724071752</v>
      </c>
      <c r="J22" s="61">
        <f t="shared" si="15"/>
        <v>1625344.3254414466</v>
      </c>
      <c r="K22" s="61">
        <f t="shared" si="15"/>
        <v>1654604.997215051</v>
      </c>
      <c r="L22" s="61">
        <f t="shared" si="15"/>
        <v>1595874.609607405</v>
      </c>
      <c r="M22" s="61">
        <f t="shared" si="15"/>
        <v>1946348.3971627473</v>
      </c>
      <c r="N22" s="61">
        <f t="shared" si="15"/>
        <v>1965920.0609862183</v>
      </c>
      <c r="Q22" s="595"/>
      <c r="V22" s="61">
        <f>H22/30</f>
        <v>57791.154168338173</v>
      </c>
    </row>
    <row r="23" spans="2:44" ht="30" x14ac:dyDescent="0.2">
      <c r="B23" s="320" t="s">
        <v>327</v>
      </c>
      <c r="E23" s="61"/>
      <c r="F23" s="61"/>
      <c r="G23" s="61"/>
      <c r="H23" s="61">
        <f t="shared" ref="H23:N23" si="16">H14*ABS($V5)</f>
        <v>1720749.2148955204</v>
      </c>
      <c r="I23" s="61">
        <f t="shared" si="16"/>
        <v>1695645.8605181831</v>
      </c>
      <c r="J23" s="61">
        <f t="shared" si="16"/>
        <v>1584890.5373911215</v>
      </c>
      <c r="K23" s="61">
        <f t="shared" si="16"/>
        <v>1622539.3983750443</v>
      </c>
      <c r="L23" s="61">
        <f t="shared" si="16"/>
        <v>1563304.1827344194</v>
      </c>
      <c r="M23" s="61">
        <f t="shared" si="16"/>
        <v>1843161.925201067</v>
      </c>
      <c r="N23" s="61">
        <f t="shared" si="16"/>
        <v>1965307.5740719035</v>
      </c>
      <c r="Q23" s="595"/>
      <c r="V23" s="61">
        <f t="shared" ref="V23:V27" si="17">H23/30</f>
        <v>57358.307163184014</v>
      </c>
    </row>
    <row r="24" spans="2:44" ht="15" x14ac:dyDescent="0.2">
      <c r="B24" s="321" t="s">
        <v>328</v>
      </c>
      <c r="E24" s="61"/>
      <c r="F24" s="61"/>
      <c r="G24" s="61"/>
      <c r="H24" s="61">
        <f t="shared" ref="H24:N24" si="18">H15*ABS($V6)</f>
        <v>0</v>
      </c>
      <c r="I24" s="61">
        <f t="shared" si="18"/>
        <v>0</v>
      </c>
      <c r="J24" s="61">
        <f t="shared" si="18"/>
        <v>0</v>
      </c>
      <c r="K24" s="61">
        <f t="shared" si="18"/>
        <v>0</v>
      </c>
      <c r="L24" s="61">
        <f t="shared" si="18"/>
        <v>0</v>
      </c>
      <c r="M24" s="61">
        <f t="shared" si="18"/>
        <v>0</v>
      </c>
      <c r="N24" s="61">
        <f t="shared" si="18"/>
        <v>0</v>
      </c>
      <c r="V24" s="61"/>
    </row>
    <row r="25" spans="2:44" ht="15" x14ac:dyDescent="0.2">
      <c r="B25" s="343" t="s">
        <v>285</v>
      </c>
      <c r="E25" s="61"/>
      <c r="F25" s="61"/>
      <c r="G25" s="61"/>
      <c r="H25" s="61">
        <f t="shared" ref="H25:N25" si="19">H16*ABS($V7)</f>
        <v>39851.817950853474</v>
      </c>
      <c r="I25" s="61">
        <f t="shared" si="19"/>
        <v>46209.378517481317</v>
      </c>
      <c r="J25" s="61">
        <f t="shared" si="19"/>
        <v>50992.557525427816</v>
      </c>
      <c r="K25" s="61">
        <f t="shared" si="19"/>
        <v>38440.056629091487</v>
      </c>
      <c r="L25" s="61">
        <f t="shared" si="19"/>
        <v>50247.077997169232</v>
      </c>
      <c r="M25" s="61">
        <f t="shared" si="19"/>
        <v>43147.359854851973</v>
      </c>
      <c r="N25" s="61">
        <f t="shared" si="19"/>
        <v>46555.046208063788</v>
      </c>
      <c r="V25" s="61">
        <f t="shared" si="17"/>
        <v>1328.3939316951157</v>
      </c>
    </row>
    <row r="26" spans="2:44" ht="15" x14ac:dyDescent="0.2">
      <c r="B26" s="320" t="s">
        <v>394</v>
      </c>
      <c r="E26" s="61"/>
      <c r="F26" s="61"/>
      <c r="G26" s="61"/>
      <c r="H26" s="61">
        <f t="shared" ref="H26:N26" si="20">H17*ABS($V8)</f>
        <v>1514536.0535654426</v>
      </c>
      <c r="I26" s="61">
        <f t="shared" si="20"/>
        <v>1488782.85710845</v>
      </c>
      <c r="J26" s="61">
        <f t="shared" si="20"/>
        <v>1419849.6960097777</v>
      </c>
      <c r="K26" s="61">
        <f t="shared" si="20"/>
        <v>1445410.8988099969</v>
      </c>
      <c r="L26" s="61">
        <f t="shared" si="20"/>
        <v>1394105.8788914613</v>
      </c>
      <c r="M26" s="61">
        <f t="shared" si="20"/>
        <v>1700268.7595381166</v>
      </c>
      <c r="N26" s="61">
        <f t="shared" si="20"/>
        <v>1717365.9496505028</v>
      </c>
      <c r="V26" s="61">
        <f t="shared" si="17"/>
        <v>50484.535118848085</v>
      </c>
    </row>
    <row r="27" spans="2:44" ht="15" x14ac:dyDescent="0.2">
      <c r="B27" s="343" t="s">
        <v>396</v>
      </c>
      <c r="E27" s="61"/>
      <c r="F27" s="61"/>
      <c r="G27" s="61"/>
      <c r="H27" s="61">
        <f t="shared" ref="H27:N28" si="21">H18*ABS($V9)</f>
        <v>310902.06448657979</v>
      </c>
      <c r="I27" s="61">
        <f t="shared" si="21"/>
        <v>305615.4805675252</v>
      </c>
      <c r="J27" s="61">
        <f t="shared" si="21"/>
        <v>291464.96757926693</v>
      </c>
      <c r="K27" s="61">
        <f t="shared" si="21"/>
        <v>296712.13928088464</v>
      </c>
      <c r="L27" s="61">
        <f t="shared" si="21"/>
        <v>286180.30903911038</v>
      </c>
      <c r="M27" s="61">
        <f t="shared" si="21"/>
        <v>349029.04178345145</v>
      </c>
      <c r="N27" s="61">
        <f t="shared" si="21"/>
        <v>352538.73155963531</v>
      </c>
      <c r="V27" s="61">
        <f t="shared" si="17"/>
        <v>10363.402149552659</v>
      </c>
    </row>
    <row r="28" spans="2:44" ht="15" x14ac:dyDescent="0.2">
      <c r="B28" s="322" t="s">
        <v>442</v>
      </c>
      <c r="E28" s="61"/>
      <c r="F28" s="61"/>
      <c r="G28" s="61"/>
      <c r="H28" s="61">
        <f t="shared" si="21"/>
        <v>5636217.7996402876</v>
      </c>
      <c r="I28" s="61">
        <f t="shared" si="21"/>
        <v>5339574.7575539565</v>
      </c>
      <c r="J28" s="61">
        <f t="shared" si="21"/>
        <v>5636217.7996402876</v>
      </c>
      <c r="K28" s="61">
        <f t="shared" si="21"/>
        <v>5636217.7996402876</v>
      </c>
      <c r="L28" s="61">
        <f t="shared" si="21"/>
        <v>5042931.7154676253</v>
      </c>
      <c r="M28" s="61">
        <f t="shared" si="21"/>
        <v>7712719.0942446031</v>
      </c>
      <c r="N28" s="61">
        <f t="shared" si="21"/>
        <v>6229503.8838129491</v>
      </c>
      <c r="V28" s="61"/>
    </row>
    <row r="30" spans="2:44" x14ac:dyDescent="0.2">
      <c r="E30" s="61"/>
    </row>
    <row r="31" spans="2:44" x14ac:dyDescent="0.2">
      <c r="E31" s="61"/>
    </row>
    <row r="32" spans="2:44" ht="29.25" x14ac:dyDescent="0.2">
      <c r="B32" s="419" t="s">
        <v>437</v>
      </c>
      <c r="C32" s="381"/>
      <c r="D32" s="380"/>
      <c r="E32" s="381"/>
      <c r="F32" s="596"/>
      <c r="G32" s="380"/>
      <c r="H32" s="381"/>
      <c r="I32" s="381"/>
      <c r="J32" s="381"/>
      <c r="K32" s="380"/>
      <c r="L32" s="380"/>
      <c r="M32" s="380"/>
      <c r="N32" s="524"/>
      <c r="O32" s="420"/>
      <c r="P32" s="380"/>
      <c r="Q32" s="380"/>
      <c r="R32" s="380"/>
      <c r="S32" s="380"/>
      <c r="T32" s="380"/>
      <c r="U32" s="380"/>
      <c r="Y32" s="419" t="s">
        <v>440</v>
      </c>
      <c r="Z32" s="381"/>
      <c r="AA32" s="380"/>
      <c r="AB32" s="380"/>
      <c r="AC32" s="380"/>
      <c r="AD32" s="380"/>
      <c r="AE32" s="380"/>
      <c r="AF32" s="381"/>
      <c r="AG32" s="381"/>
      <c r="AH32" s="380"/>
      <c r="AI32" s="380"/>
      <c r="AJ32" s="380"/>
      <c r="AK32" s="524"/>
      <c r="AL32" s="420"/>
      <c r="AM32" s="380"/>
      <c r="AN32" s="380"/>
      <c r="AO32" s="380"/>
      <c r="AP32" s="380"/>
      <c r="AQ32" s="380"/>
      <c r="AR32" s="380"/>
    </row>
    <row r="33" spans="1:46" ht="16.5" x14ac:dyDescent="0.2">
      <c r="B33" s="90" t="s">
        <v>325</v>
      </c>
      <c r="C33" s="91" t="s">
        <v>92</v>
      </c>
      <c r="D33" s="91" t="s">
        <v>93</v>
      </c>
      <c r="E33" s="91" t="s">
        <v>61</v>
      </c>
      <c r="F33" s="91" t="s">
        <v>62</v>
      </c>
      <c r="G33" s="91" t="s">
        <v>63</v>
      </c>
      <c r="H33" s="91" t="s">
        <v>64</v>
      </c>
      <c r="I33" s="91" t="s">
        <v>65</v>
      </c>
      <c r="J33" s="91" t="s">
        <v>66</v>
      </c>
      <c r="K33" s="91" t="s">
        <v>67</v>
      </c>
      <c r="L33" s="91" t="s">
        <v>68</v>
      </c>
      <c r="M33" s="91" t="s">
        <v>69</v>
      </c>
      <c r="N33" s="91" t="s">
        <v>94</v>
      </c>
      <c r="O33" s="92" t="s">
        <v>277</v>
      </c>
      <c r="P33" s="285" t="s">
        <v>408</v>
      </c>
      <c r="Q33" s="92" t="s">
        <v>409</v>
      </c>
      <c r="R33" s="285" t="s">
        <v>333</v>
      </c>
      <c r="S33" s="91" t="s">
        <v>410</v>
      </c>
      <c r="T33" s="91" t="s">
        <v>411</v>
      </c>
      <c r="U33" s="287" t="s">
        <v>412</v>
      </c>
      <c r="V33" s="530" t="s">
        <v>438</v>
      </c>
      <c r="X33" s="1" t="s">
        <v>322</v>
      </c>
      <c r="Y33" s="90" t="s">
        <v>325</v>
      </c>
      <c r="Z33" s="91" t="s">
        <v>92</v>
      </c>
      <c r="AA33" s="91" t="s">
        <v>93</v>
      </c>
      <c r="AB33" s="91" t="s">
        <v>61</v>
      </c>
      <c r="AC33" s="91" t="s">
        <v>62</v>
      </c>
      <c r="AD33" s="91" t="s">
        <v>63</v>
      </c>
      <c r="AE33" s="91" t="s">
        <v>64</v>
      </c>
      <c r="AF33" s="91" t="s">
        <v>65</v>
      </c>
      <c r="AG33" s="91" t="s">
        <v>66</v>
      </c>
      <c r="AH33" s="91" t="s">
        <v>67</v>
      </c>
      <c r="AI33" s="91" t="s">
        <v>68</v>
      </c>
      <c r="AJ33" s="91" t="s">
        <v>69</v>
      </c>
      <c r="AK33" s="91" t="s">
        <v>94</v>
      </c>
      <c r="AL33" s="92" t="s">
        <v>277</v>
      </c>
      <c r="AM33" s="285" t="s">
        <v>408</v>
      </c>
      <c r="AN33" s="92" t="s">
        <v>409</v>
      </c>
      <c r="AO33" s="285" t="s">
        <v>333</v>
      </c>
      <c r="AP33" s="91" t="s">
        <v>410</v>
      </c>
      <c r="AQ33" s="91" t="s">
        <v>411</v>
      </c>
      <c r="AR33" s="287" t="s">
        <v>412</v>
      </c>
      <c r="AT33" s="653" t="s">
        <v>467</v>
      </c>
    </row>
    <row r="34" spans="1:46" ht="15" x14ac:dyDescent="0.2">
      <c r="B34" s="342" t="s">
        <v>326</v>
      </c>
      <c r="C34" s="351">
        <f>C4+C22</f>
        <v>23226680.765000001</v>
      </c>
      <c r="D34" s="351">
        <f>D4+D22</f>
        <v>16184643.320878342</v>
      </c>
      <c r="E34" s="351">
        <v>19171693.354208339</v>
      </c>
      <c r="F34" s="351">
        <v>19248292.538757399</v>
      </c>
      <c r="G34" s="351">
        <v>18317477.885577459</v>
      </c>
      <c r="H34" s="351">
        <f t="shared" ref="H34:N34" si="22">H4+H22</f>
        <v>19241403.958254345</v>
      </c>
      <c r="I34" s="351">
        <f t="shared" si="22"/>
        <v>18914222.802626695</v>
      </c>
      <c r="J34" s="351">
        <f t="shared" si="22"/>
        <v>18038462.337435719</v>
      </c>
      <c r="K34" s="351">
        <f t="shared" si="22"/>
        <v>18363204.312101841</v>
      </c>
      <c r="L34" s="351">
        <f t="shared" si="22"/>
        <v>17711400.341496546</v>
      </c>
      <c r="M34" s="351">
        <f t="shared" si="22"/>
        <v>21601042.750257175</v>
      </c>
      <c r="N34" s="351">
        <f t="shared" si="22"/>
        <v>21818253.783780638</v>
      </c>
      <c r="O34" s="352">
        <f>SUM(C34:N34)</f>
        <v>231836778.1503745</v>
      </c>
      <c r="P34" s="353">
        <f>SUM(C34:H34)</f>
        <v>115390191.82267588</v>
      </c>
      <c r="Q34" s="352">
        <f>SUM(I34:N34)</f>
        <v>116446586.32769862</v>
      </c>
      <c r="R34" s="353">
        <f>SUM(C34:E34)</f>
        <v>58583017.440086678</v>
      </c>
      <c r="S34" s="351">
        <f>SUM(F34:H34)</f>
        <v>56807174.382589199</v>
      </c>
      <c r="T34" s="351">
        <f>SUM(I34:K34)</f>
        <v>55315889.452164255</v>
      </c>
      <c r="U34" s="354">
        <f>SUM(L34:N34)</f>
        <v>61130696.875534356</v>
      </c>
      <c r="V34" s="61">
        <f>O34-O4</f>
        <v>14229747.527391493</v>
      </c>
      <c r="X34" s="388">
        <v>1.1200000000000001</v>
      </c>
      <c r="Y34" s="342" t="s">
        <v>326</v>
      </c>
      <c r="Z34" s="351">
        <f>C34*$X34/Z4</f>
        <v>99061446.350911185</v>
      </c>
      <c r="AA34" s="351">
        <f t="shared" ref="AA34:AK34" si="23">D34*$X34/AA4</f>
        <v>71731575.67879197</v>
      </c>
      <c r="AB34" s="351">
        <f t="shared" si="23"/>
        <v>80431467.056424081</v>
      </c>
      <c r="AC34" s="351">
        <f t="shared" si="23"/>
        <v>84784064.592710868</v>
      </c>
      <c r="AD34" s="351">
        <f t="shared" si="23"/>
        <v>83749194.729997978</v>
      </c>
      <c r="AE34" s="351">
        <f t="shared" si="23"/>
        <v>83438532.692468002</v>
      </c>
      <c r="AF34" s="351">
        <f t="shared" si="23"/>
        <v>84635419.364068061</v>
      </c>
      <c r="AG34" s="351">
        <f t="shared" si="23"/>
        <v>80592094.888774276</v>
      </c>
      <c r="AH34" s="351">
        <f t="shared" si="23"/>
        <v>82358997.25725621</v>
      </c>
      <c r="AI34" s="351">
        <f t="shared" si="23"/>
        <v>84942567.88991724</v>
      </c>
      <c r="AJ34" s="351">
        <f t="shared" si="23"/>
        <v>91352243.839633793</v>
      </c>
      <c r="AK34" s="351">
        <f t="shared" si="23"/>
        <v>87235861.769579113</v>
      </c>
      <c r="AL34" s="352">
        <f>SUM(Z34:AK34)</f>
        <v>1014313466.1105328</v>
      </c>
      <c r="AM34" s="353">
        <f>SUM(Z34:AE34)</f>
        <v>503196281.10130405</v>
      </c>
      <c r="AN34" s="352">
        <f>SUM(AF34:AK34)</f>
        <v>511117185.00922865</v>
      </c>
      <c r="AO34" s="353">
        <f>SUM(Z34:AB34)</f>
        <v>251224489.08612722</v>
      </c>
      <c r="AP34" s="351">
        <f>SUM(AC34:AE34)</f>
        <v>251971792.01517683</v>
      </c>
      <c r="AQ34" s="351">
        <f>SUM(AF34:AH34)</f>
        <v>247586511.51009855</v>
      </c>
      <c r="AR34" s="354">
        <f>SUM(AI34:AK34)</f>
        <v>263530673.49913013</v>
      </c>
      <c r="AT34" s="61">
        <f>AE34/30</f>
        <v>2781284.4230822669</v>
      </c>
    </row>
    <row r="35" spans="1:46" ht="30" x14ac:dyDescent="0.2">
      <c r="B35" s="320" t="s">
        <v>327</v>
      </c>
      <c r="C35" s="347">
        <f t="shared" ref="C35:N35" si="24">C5+C23</f>
        <v>19601680.765000001</v>
      </c>
      <c r="D35" s="347">
        <f t="shared" si="24"/>
        <v>13951219.353999998</v>
      </c>
      <c r="E35" s="347">
        <v>16169500.842707338</v>
      </c>
      <c r="F35" s="347">
        <v>15530664.395898992</v>
      </c>
      <c r="G35" s="347">
        <v>15563317.568555759</v>
      </c>
      <c r="H35" s="347">
        <f t="shared" si="24"/>
        <v>15974002.024919366</v>
      </c>
      <c r="I35" s="347">
        <f t="shared" si="24"/>
        <v>15740963.398381215</v>
      </c>
      <c r="J35" s="347">
        <f t="shared" si="24"/>
        <v>14712803.257096652</v>
      </c>
      <c r="K35" s="347">
        <f t="shared" si="24"/>
        <v>15062303.914360998</v>
      </c>
      <c r="L35" s="347">
        <f t="shared" si="24"/>
        <v>14512413.525686705</v>
      </c>
      <c r="M35" s="347">
        <f t="shared" si="24"/>
        <v>17110379.63611903</v>
      </c>
      <c r="N35" s="347">
        <f t="shared" si="24"/>
        <v>18244278.071467906</v>
      </c>
      <c r="O35" s="348">
        <f t="shared" ref="O35:O39" si="25">SUM(C35:N35)</f>
        <v>192173526.75419396</v>
      </c>
      <c r="P35" s="349">
        <f t="shared" ref="P35:P39" si="26">SUM(C35:H35)</f>
        <v>96790384.951081455</v>
      </c>
      <c r="Q35" s="348">
        <f t="shared" ref="Q35:Q39" si="27">SUM(I35:N35)</f>
        <v>95383141.803112507</v>
      </c>
      <c r="R35" s="349">
        <f t="shared" ref="R35:R39" si="28">SUM(C35:E35)</f>
        <v>49722400.961707339</v>
      </c>
      <c r="S35" s="347">
        <f t="shared" ref="S35:S39" si="29">SUM(F35:H35)</f>
        <v>47067983.989374116</v>
      </c>
      <c r="T35" s="347">
        <f t="shared" ref="T35:T39" si="30">SUM(I35:K35)</f>
        <v>45516070.569838867</v>
      </c>
      <c r="U35" s="350">
        <f t="shared" ref="U35:U39" si="31">SUM(L35:N35)</f>
        <v>49867071.23327364</v>
      </c>
      <c r="V35" s="61">
        <f t="shared" ref="V35:V40" si="32">O35-O5</f>
        <v>14066496.131210953</v>
      </c>
      <c r="X35" s="1">
        <v>1.1200000000000001</v>
      </c>
      <c r="Y35" s="320" t="s">
        <v>327</v>
      </c>
      <c r="Z35" s="347">
        <f t="shared" ref="Z35:AK35" si="33">C35*$X35/Z5</f>
        <v>78968728.885571644</v>
      </c>
      <c r="AA35" s="347">
        <f t="shared" si="33"/>
        <v>58442846.769470386</v>
      </c>
      <c r="AB35" s="347">
        <f t="shared" si="33"/>
        <v>62863085.749573499</v>
      </c>
      <c r="AC35" s="347">
        <f t="shared" si="33"/>
        <v>63325154.183130145</v>
      </c>
      <c r="AD35" s="347">
        <f t="shared" si="33"/>
        <v>66899785.137625188</v>
      </c>
      <c r="AE35" s="347">
        <f t="shared" si="33"/>
        <v>63444596.861320145</v>
      </c>
      <c r="AF35" s="347">
        <f t="shared" si="33"/>
        <v>64534988.891961455</v>
      </c>
      <c r="AG35" s="347">
        <f t="shared" si="33"/>
        <v>59287730.221333772</v>
      </c>
      <c r="AH35" s="347">
        <f t="shared" si="33"/>
        <v>62402732.096400097</v>
      </c>
      <c r="AI35" s="347">
        <f t="shared" si="33"/>
        <v>64444885.696864054</v>
      </c>
      <c r="AJ35" s="347">
        <f t="shared" si="33"/>
        <v>65011386.225451149</v>
      </c>
      <c r="AK35" s="347">
        <f t="shared" si="33"/>
        <v>64923183.996839628</v>
      </c>
      <c r="AL35" s="348">
        <f t="shared" ref="AL35:AL39" si="34">SUM(Z35:AK35)</f>
        <v>774549104.71554112</v>
      </c>
      <c r="AM35" s="349">
        <f t="shared" ref="AM35:AM39" si="35">SUM(Z35:AE35)</f>
        <v>393944197.58669102</v>
      </c>
      <c r="AN35" s="348">
        <f t="shared" ref="AN35:AN39" si="36">SUM(AF35:AK35)</f>
        <v>380604907.12885022</v>
      </c>
      <c r="AO35" s="349">
        <f t="shared" ref="AO35:AO39" si="37">SUM(Z35:AB35)</f>
        <v>200274661.40461552</v>
      </c>
      <c r="AP35" s="347">
        <f t="shared" ref="AP35:AP39" si="38">SUM(AC35:AE35)</f>
        <v>193669536.18207547</v>
      </c>
      <c r="AQ35" s="347">
        <f t="shared" ref="AQ35:AQ39" si="39">SUM(AF35:AH35)</f>
        <v>186225451.20969534</v>
      </c>
      <c r="AR35" s="350">
        <f t="shared" ref="AR35:AR39" si="40">SUM(AI35:AK35)</f>
        <v>194379455.91915482</v>
      </c>
      <c r="AT35" s="61">
        <f>AE35/30</f>
        <v>2114819.8953773384</v>
      </c>
    </row>
    <row r="36" spans="1:46" ht="16.5" x14ac:dyDescent="0.2">
      <c r="B36" s="321" t="s">
        <v>328</v>
      </c>
      <c r="C36" s="338">
        <f t="shared" ref="C36:N36" si="41">C6+C24</f>
        <v>2850000</v>
      </c>
      <c r="D36" s="338">
        <f t="shared" si="41"/>
        <v>1600000</v>
      </c>
      <c r="E36" s="338">
        <v>2200000</v>
      </c>
      <c r="F36" s="338">
        <v>2800000</v>
      </c>
      <c r="G36" s="338">
        <v>1900000</v>
      </c>
      <c r="H36" s="338">
        <f t="shared" si="41"/>
        <v>2250000</v>
      </c>
      <c r="I36" s="338">
        <f t="shared" si="41"/>
        <v>2000000</v>
      </c>
      <c r="J36" s="338">
        <f t="shared" si="41"/>
        <v>2000000</v>
      </c>
      <c r="K36" s="338">
        <f t="shared" si="41"/>
        <v>2300000</v>
      </c>
      <c r="L36" s="338">
        <f t="shared" si="41"/>
        <v>1900000</v>
      </c>
      <c r="M36" s="338">
        <f t="shared" si="41"/>
        <v>3300000</v>
      </c>
      <c r="N36" s="338">
        <f t="shared" si="41"/>
        <v>2400000</v>
      </c>
      <c r="O36" s="339">
        <f t="shared" si="25"/>
        <v>27500000</v>
      </c>
      <c r="P36" s="340">
        <f t="shared" si="26"/>
        <v>13600000</v>
      </c>
      <c r="Q36" s="339">
        <f t="shared" si="27"/>
        <v>13900000</v>
      </c>
      <c r="R36" s="340">
        <f t="shared" si="28"/>
        <v>6650000</v>
      </c>
      <c r="S36" s="338">
        <f t="shared" si="29"/>
        <v>6950000</v>
      </c>
      <c r="T36" s="338">
        <f t="shared" si="30"/>
        <v>6300000</v>
      </c>
      <c r="U36" s="341">
        <f t="shared" si="31"/>
        <v>7600000</v>
      </c>
      <c r="V36" s="61">
        <f t="shared" si="32"/>
        <v>0</v>
      </c>
      <c r="X36" s="1">
        <v>1.1200000000000001</v>
      </c>
      <c r="Y36" s="321" t="s">
        <v>328</v>
      </c>
      <c r="Z36" s="338">
        <f t="shared" ref="Z36:AK36" si="42">C36*$X36/Z6</f>
        <v>13874286.082059536</v>
      </c>
      <c r="AA36" s="338">
        <f t="shared" si="42"/>
        <v>7789072.8881737748</v>
      </c>
      <c r="AB36" s="338">
        <f t="shared" si="42"/>
        <v>10709975.221238941</v>
      </c>
      <c r="AC36" s="338">
        <f t="shared" si="42"/>
        <v>13630877.554304106</v>
      </c>
      <c r="AD36" s="338">
        <f t="shared" si="42"/>
        <v>9249524.0547063556</v>
      </c>
      <c r="AE36" s="338">
        <f t="shared" si="42"/>
        <v>10953383.748994371</v>
      </c>
      <c r="AF36" s="338">
        <f t="shared" si="42"/>
        <v>9736341.1102172174</v>
      </c>
      <c r="AG36" s="338">
        <f t="shared" si="42"/>
        <v>9736341.1102172174</v>
      </c>
      <c r="AH36" s="338">
        <f t="shared" si="42"/>
        <v>11196792.276749801</v>
      </c>
      <c r="AI36" s="338">
        <f t="shared" si="42"/>
        <v>9249524.0547063556</v>
      </c>
      <c r="AJ36" s="338">
        <f t="shared" si="42"/>
        <v>16064962.83185841</v>
      </c>
      <c r="AK36" s="338">
        <f t="shared" si="42"/>
        <v>11683609.332260663</v>
      </c>
      <c r="AL36" s="339">
        <f t="shared" si="34"/>
        <v>133874690.26548675</v>
      </c>
      <c r="AM36" s="340">
        <f t="shared" si="35"/>
        <v>66207119.549477085</v>
      </c>
      <c r="AN36" s="339">
        <f t="shared" si="36"/>
        <v>67667570.716009662</v>
      </c>
      <c r="AO36" s="340">
        <f t="shared" si="37"/>
        <v>32373334.191472251</v>
      </c>
      <c r="AP36" s="338">
        <f t="shared" si="38"/>
        <v>33833785.358004831</v>
      </c>
      <c r="AQ36" s="338">
        <f t="shared" si="39"/>
        <v>30669474.497184236</v>
      </c>
      <c r="AR36" s="341">
        <f t="shared" si="40"/>
        <v>36998096.21882543</v>
      </c>
      <c r="AT36" s="61">
        <f t="shared" ref="AT36:AT39" si="43">AE36/30</f>
        <v>365112.79163314571</v>
      </c>
    </row>
    <row r="37" spans="1:46" ht="16.5" x14ac:dyDescent="0.2">
      <c r="B37" s="343" t="s">
        <v>285</v>
      </c>
      <c r="C37" s="302">
        <f t="shared" ref="C37:N37" si="44">C7+C25</f>
        <v>775000</v>
      </c>
      <c r="D37" s="302">
        <f t="shared" si="44"/>
        <v>633423.96687834384</v>
      </c>
      <c r="E37" s="302">
        <v>823712.13472223061</v>
      </c>
      <c r="F37" s="302">
        <v>919563.93393090763</v>
      </c>
      <c r="G37" s="302">
        <v>923462.33459276904</v>
      </c>
      <c r="H37" s="302">
        <f t="shared" si="44"/>
        <v>1044268.3411312056</v>
      </c>
      <c r="I37" s="302">
        <f t="shared" si="44"/>
        <v>1210860.4708739703</v>
      </c>
      <c r="J37" s="302">
        <f t="shared" si="44"/>
        <v>1336197.8498141679</v>
      </c>
      <c r="K37" s="302">
        <f t="shared" si="44"/>
        <v>1007274.855529929</v>
      </c>
      <c r="L37" s="302">
        <f t="shared" si="44"/>
        <v>1316663.4669340216</v>
      </c>
      <c r="M37" s="302">
        <f t="shared" si="44"/>
        <v>1130624.0020313172</v>
      </c>
      <c r="N37" s="302">
        <f t="shared" si="44"/>
        <v>1219918.2716064833</v>
      </c>
      <c r="O37" s="344">
        <f t="shared" si="25"/>
        <v>12340969.628045345</v>
      </c>
      <c r="P37" s="345">
        <f t="shared" si="26"/>
        <v>5119430.7112554563</v>
      </c>
      <c r="Q37" s="344">
        <f t="shared" si="27"/>
        <v>7221538.9167898893</v>
      </c>
      <c r="R37" s="345">
        <f t="shared" si="28"/>
        <v>2232136.1016005743</v>
      </c>
      <c r="S37" s="302">
        <f t="shared" si="29"/>
        <v>2887294.6096548825</v>
      </c>
      <c r="T37" s="302">
        <f t="shared" si="30"/>
        <v>3554333.1762180673</v>
      </c>
      <c r="U37" s="346">
        <f t="shared" si="31"/>
        <v>3667205.740571822</v>
      </c>
      <c r="V37" s="61">
        <f t="shared" si="32"/>
        <v>340969.62804534473</v>
      </c>
      <c r="X37" s="1">
        <v>1.1200000000000001</v>
      </c>
      <c r="Y37" s="343" t="s">
        <v>285</v>
      </c>
      <c r="Z37" s="302">
        <f t="shared" ref="Z37:AK37" si="45">C37*$X37/Z7</f>
        <v>6218431.3832800109</v>
      </c>
      <c r="AA37" s="302">
        <f t="shared" si="45"/>
        <v>5499656.0211478109</v>
      </c>
      <c r="AB37" s="302">
        <f t="shared" si="45"/>
        <v>6853284.9608889585</v>
      </c>
      <c r="AC37" s="302">
        <f t="shared" si="45"/>
        <v>7650771.9303051513</v>
      </c>
      <c r="AD37" s="302">
        <f t="shared" si="45"/>
        <v>7683206.6238118391</v>
      </c>
      <c r="AE37" s="302">
        <f t="shared" si="45"/>
        <v>8688312.5982116293</v>
      </c>
      <c r="AF37" s="302">
        <f t="shared" si="45"/>
        <v>10074359.117671434</v>
      </c>
      <c r="AG37" s="302">
        <f t="shared" si="45"/>
        <v>11117166.110453876</v>
      </c>
      <c r="AH37" s="302">
        <f t="shared" si="45"/>
        <v>8380526.7980090091</v>
      </c>
      <c r="AI37" s="302">
        <f t="shared" si="45"/>
        <v>10954640.044891061</v>
      </c>
      <c r="AJ37" s="302">
        <f t="shared" si="45"/>
        <v>9406791.6969005596</v>
      </c>
      <c r="AK37" s="302">
        <f t="shared" si="45"/>
        <v>10149720.01976594</v>
      </c>
      <c r="AL37" s="344">
        <f t="shared" si="34"/>
        <v>102676867.30533728</v>
      </c>
      <c r="AM37" s="345">
        <f t="shared" si="35"/>
        <v>42593663.517645404</v>
      </c>
      <c r="AN37" s="344">
        <f t="shared" si="36"/>
        <v>60083203.787691876</v>
      </c>
      <c r="AO37" s="345">
        <f t="shared" si="37"/>
        <v>18571372.365316782</v>
      </c>
      <c r="AP37" s="302">
        <f t="shared" si="38"/>
        <v>24022291.152328618</v>
      </c>
      <c r="AQ37" s="302">
        <f t="shared" si="39"/>
        <v>29572052.02613432</v>
      </c>
      <c r="AR37" s="346">
        <f t="shared" si="40"/>
        <v>30511151.76155756</v>
      </c>
      <c r="AT37" s="61">
        <f t="shared" si="43"/>
        <v>289610.41994038766</v>
      </c>
    </row>
    <row r="38" spans="1:46" ht="30" x14ac:dyDescent="0.2">
      <c r="B38" s="320" t="s">
        <v>394</v>
      </c>
      <c r="C38" s="458">
        <f t="shared" ref="C38:N38" si="46">C8+C26</f>
        <v>20904012.688500002</v>
      </c>
      <c r="D38" s="458">
        <f t="shared" si="46"/>
        <v>14566178.988790508</v>
      </c>
      <c r="E38" s="458">
        <v>17238964.780794643</v>
      </c>
      <c r="F38" s="458">
        <v>17279478.440470707</v>
      </c>
      <c r="G38" s="458">
        <v>16474469.912354732</v>
      </c>
      <c r="H38" s="458">
        <f t="shared" si="46"/>
        <v>17271438.453449219</v>
      </c>
      <c r="I38" s="458">
        <f t="shared" si="46"/>
        <v>16977754.624306019</v>
      </c>
      <c r="J38" s="458">
        <f t="shared" si="46"/>
        <v>16191655.906804623</v>
      </c>
      <c r="K38" s="458">
        <f t="shared" si="46"/>
        <v>16483150.282208109</v>
      </c>
      <c r="L38" s="458">
        <f t="shared" si="46"/>
        <v>15898079.037591686</v>
      </c>
      <c r="M38" s="458">
        <f t="shared" si="46"/>
        <v>19389493.677323103</v>
      </c>
      <c r="N38" s="458">
        <f t="shared" si="46"/>
        <v>19584466.300165482</v>
      </c>
      <c r="O38" s="459">
        <f t="shared" si="25"/>
        <v>208259143.09275886</v>
      </c>
      <c r="P38" s="460">
        <f t="shared" si="26"/>
        <v>103734543.26435982</v>
      </c>
      <c r="Q38" s="459">
        <f t="shared" si="27"/>
        <v>104524599.82839903</v>
      </c>
      <c r="R38" s="460">
        <f t="shared" si="28"/>
        <v>52709156.458085157</v>
      </c>
      <c r="S38" s="458">
        <f t="shared" si="29"/>
        <v>51025386.80627466</v>
      </c>
      <c r="T38" s="458">
        <f t="shared" si="30"/>
        <v>49652560.813318752</v>
      </c>
      <c r="U38" s="461">
        <f t="shared" si="31"/>
        <v>54872039.015080273</v>
      </c>
      <c r="V38" s="61">
        <f t="shared" si="32"/>
        <v>12412815.532074153</v>
      </c>
      <c r="X38" s="1">
        <v>1.1200000000000001</v>
      </c>
      <c r="Y38" s="320" t="s">
        <v>394</v>
      </c>
      <c r="Z38" s="458">
        <f t="shared" ref="Z38:AK38" si="47">C38*$X38/Z8</f>
        <v>85136342.585890919</v>
      </c>
      <c r="AA38" s="458">
        <f t="shared" si="47"/>
        <v>59324074.427074075</v>
      </c>
      <c r="AB38" s="458">
        <f t="shared" si="47"/>
        <v>70209602.016327262</v>
      </c>
      <c r="AC38" s="458">
        <f t="shared" si="47"/>
        <v>70374603.103007972</v>
      </c>
      <c r="AD38" s="458">
        <f t="shared" si="47"/>
        <v>67096022.915772006</v>
      </c>
      <c r="AE38" s="458">
        <f t="shared" si="47"/>
        <v>70341858.428593189</v>
      </c>
      <c r="AF38" s="458">
        <f t="shared" si="47"/>
        <v>69145764.288082704</v>
      </c>
      <c r="AG38" s="458">
        <f t="shared" si="47"/>
        <v>65944198.602258831</v>
      </c>
      <c r="AH38" s="458">
        <f t="shared" si="47"/>
        <v>67131375.69481121</v>
      </c>
      <c r="AI38" s="458">
        <f t="shared" si="47"/>
        <v>64748540.080373414</v>
      </c>
      <c r="AJ38" s="458">
        <f t="shared" si="47"/>
        <v>78968119.704006821</v>
      </c>
      <c r="AK38" s="458">
        <f t="shared" si="47"/>
        <v>79762190.022492141</v>
      </c>
      <c r="AL38" s="459">
        <f t="shared" si="34"/>
        <v>848182691.86869061</v>
      </c>
      <c r="AM38" s="460">
        <f t="shared" si="35"/>
        <v>422482503.4766655</v>
      </c>
      <c r="AN38" s="459">
        <f t="shared" si="36"/>
        <v>425700188.39202511</v>
      </c>
      <c r="AO38" s="460">
        <f t="shared" si="37"/>
        <v>214670019.02929226</v>
      </c>
      <c r="AP38" s="458">
        <f t="shared" si="38"/>
        <v>207812484.44737318</v>
      </c>
      <c r="AQ38" s="458">
        <f t="shared" si="39"/>
        <v>202221338.58515275</v>
      </c>
      <c r="AR38" s="461">
        <f t="shared" si="40"/>
        <v>223478849.80687237</v>
      </c>
      <c r="AT38" s="61">
        <f t="shared" si="43"/>
        <v>2344728.6142864395</v>
      </c>
    </row>
    <row r="39" spans="1:46" ht="16.5" x14ac:dyDescent="0.2">
      <c r="B39" s="343" t="s">
        <v>396</v>
      </c>
      <c r="C39" s="302">
        <f t="shared" ref="C39:N40" si="48">C9+C27</f>
        <v>2322668.0765</v>
      </c>
      <c r="D39" s="302">
        <f t="shared" si="48"/>
        <v>1618464.3320878344</v>
      </c>
      <c r="E39" s="302">
        <v>1957856.4028891488</v>
      </c>
      <c r="F39" s="302">
        <v>2008471.523161548</v>
      </c>
      <c r="G39" s="302">
        <v>1904263.7070556078</v>
      </c>
      <c r="H39" s="302">
        <f t="shared" si="48"/>
        <v>2061668.9978069996</v>
      </c>
      <c r="I39" s="302">
        <f t="shared" si="48"/>
        <v>2026612.3435894772</v>
      </c>
      <c r="J39" s="302">
        <f t="shared" si="48"/>
        <v>1932776.7687786943</v>
      </c>
      <c r="K39" s="302">
        <f t="shared" si="48"/>
        <v>1967572.0707695638</v>
      </c>
      <c r="L39" s="302">
        <f t="shared" si="48"/>
        <v>1897732.8822280243</v>
      </c>
      <c r="M39" s="302">
        <f t="shared" si="48"/>
        <v>2314498.4770928943</v>
      </c>
      <c r="N39" s="302">
        <f t="shared" si="48"/>
        <v>2337772.1038390775</v>
      </c>
      <c r="O39" s="462">
        <f t="shared" si="25"/>
        <v>24350357.685798872</v>
      </c>
      <c r="P39" s="463">
        <f t="shared" si="26"/>
        <v>11873393.039501138</v>
      </c>
      <c r="Q39" s="462">
        <f t="shared" si="27"/>
        <v>12476964.646297731</v>
      </c>
      <c r="R39" s="463">
        <f t="shared" si="28"/>
        <v>5898988.8114769831</v>
      </c>
      <c r="S39" s="464">
        <f t="shared" si="29"/>
        <v>5974404.2280241558</v>
      </c>
      <c r="T39" s="464">
        <f t="shared" si="30"/>
        <v>5926961.1831377354</v>
      </c>
      <c r="U39" s="465">
        <f t="shared" si="31"/>
        <v>6550003.4631599952</v>
      </c>
      <c r="V39" s="61">
        <f t="shared" si="32"/>
        <v>2589654.6235005707</v>
      </c>
      <c r="X39" s="1">
        <v>1.1200000000000001</v>
      </c>
      <c r="Y39" s="343" t="s">
        <v>396</v>
      </c>
      <c r="Z39" s="302">
        <f t="shared" ref="Z39:AK39" si="49">C39*$X39/Z9</f>
        <v>13925103.765020264</v>
      </c>
      <c r="AA39" s="302">
        <f t="shared" si="49"/>
        <v>12407501.251717895</v>
      </c>
      <c r="AB39" s="302">
        <f t="shared" si="49"/>
        <v>10374084.887991633</v>
      </c>
      <c r="AC39" s="302">
        <f t="shared" si="49"/>
        <v>14848693.141858669</v>
      </c>
      <c r="AD39" s="302">
        <f t="shared" si="49"/>
        <v>17264768.655562147</v>
      </c>
      <c r="AE39" s="302">
        <f t="shared" si="49"/>
        <v>13832790.756380605</v>
      </c>
      <c r="AF39" s="302">
        <f t="shared" si="49"/>
        <v>16400211.043350613</v>
      </c>
      <c r="AG39" s="302">
        <f t="shared" si="49"/>
        <v>15507388.891329762</v>
      </c>
      <c r="AH39" s="302">
        <f t="shared" si="49"/>
        <v>16125175.24083814</v>
      </c>
      <c r="AI39" s="302">
        <f t="shared" si="49"/>
        <v>21453331.191218428</v>
      </c>
      <c r="AJ39" s="302">
        <f t="shared" si="49"/>
        <v>13044787.511111936</v>
      </c>
      <c r="AK39" s="302">
        <f t="shared" si="49"/>
        <v>7781101.3957968066</v>
      </c>
      <c r="AL39" s="462">
        <f t="shared" si="34"/>
        <v>172964937.7321769</v>
      </c>
      <c r="AM39" s="463">
        <f t="shared" si="35"/>
        <v>82652942.458531216</v>
      </c>
      <c r="AN39" s="462">
        <f t="shared" si="36"/>
        <v>90311995.273645684</v>
      </c>
      <c r="AO39" s="463">
        <f t="shared" si="37"/>
        <v>36706689.904729798</v>
      </c>
      <c r="AP39" s="464">
        <f t="shared" si="38"/>
        <v>45946252.553801417</v>
      </c>
      <c r="AQ39" s="464">
        <f t="shared" si="39"/>
        <v>48032775.175518513</v>
      </c>
      <c r="AR39" s="465">
        <f t="shared" si="40"/>
        <v>42279220.098127171</v>
      </c>
      <c r="AT39" s="61">
        <f t="shared" si="43"/>
        <v>461093.0252126868</v>
      </c>
    </row>
    <row r="40" spans="1:46" ht="16.5" x14ac:dyDescent="0.2">
      <c r="A40" t="s">
        <v>441</v>
      </c>
      <c r="B40" s="322" t="s">
        <v>442</v>
      </c>
      <c r="C40" s="302">
        <f>C10+C28</f>
        <v>35750000</v>
      </c>
      <c r="D40" s="302">
        <f t="shared" si="48"/>
        <v>22750000</v>
      </c>
      <c r="E40" s="302">
        <v>32868553.15824176</v>
      </c>
      <c r="F40" s="302">
        <v>52990245.927441858</v>
      </c>
      <c r="G40" s="302">
        <v>56809413.882756412</v>
      </c>
      <c r="H40" s="302">
        <f t="shared" si="48"/>
        <v>67386217.799640283</v>
      </c>
      <c r="I40" s="302">
        <f t="shared" si="48"/>
        <v>63839574.757553957</v>
      </c>
      <c r="J40" s="302">
        <f t="shared" si="48"/>
        <v>67386217.799640283</v>
      </c>
      <c r="K40" s="302">
        <f t="shared" si="48"/>
        <v>67386217.799640283</v>
      </c>
      <c r="L40" s="302">
        <f t="shared" si="48"/>
        <v>60292931.715467624</v>
      </c>
      <c r="M40" s="302">
        <f t="shared" si="48"/>
        <v>92212719.094244599</v>
      </c>
      <c r="N40" s="302">
        <f t="shared" si="48"/>
        <v>74479503.883812949</v>
      </c>
      <c r="O40" s="462">
        <f t="shared" ref="O40" si="50">SUM(C40:N40)</f>
        <v>694151595.81843996</v>
      </c>
      <c r="P40" s="463">
        <f t="shared" ref="P40" si="51">SUM(C40:H40)</f>
        <v>268554430.76808029</v>
      </c>
      <c r="Q40" s="462">
        <f t="shared" ref="Q40" si="52">SUM(I40:N40)</f>
        <v>425597165.05035973</v>
      </c>
      <c r="R40" s="463">
        <f t="shared" ref="R40" si="53">SUM(C40:E40)</f>
        <v>91368553.158241764</v>
      </c>
      <c r="S40" s="464">
        <f t="shared" ref="S40" si="54">SUM(F40:H40)</f>
        <v>177185877.60983855</v>
      </c>
      <c r="T40" s="464">
        <f t="shared" ref="T40" si="55">SUM(I40:K40)</f>
        <v>198612010.35683453</v>
      </c>
      <c r="U40" s="465">
        <f t="shared" ref="U40" si="56">SUM(L40:N40)</f>
        <v>226985154.6935252</v>
      </c>
      <c r="V40" s="61">
        <f t="shared" si="32"/>
        <v>44151595.81843996</v>
      </c>
    </row>
    <row r="41" spans="1:46" s="590" customFormat="1" ht="16.5" x14ac:dyDescent="0.2">
      <c r="B41" s="591"/>
      <c r="C41" s="592"/>
      <c r="D41" s="592"/>
      <c r="E41" s="592"/>
      <c r="F41" s="592"/>
      <c r="G41" s="592"/>
      <c r="H41" s="592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3"/>
    </row>
    <row r="42" spans="1:46" ht="15" x14ac:dyDescent="0.2">
      <c r="B42" s="589" t="s">
        <v>468</v>
      </c>
      <c r="E42" s="589" t="s">
        <v>464</v>
      </c>
    </row>
    <row r="43" spans="1:46" ht="16.5" x14ac:dyDescent="0.2">
      <c r="B43" s="342" t="s">
        <v>326</v>
      </c>
      <c r="E43" s="427">
        <f>E34/E4-1</f>
        <v>1.5287051771133431E-2</v>
      </c>
      <c r="F43" s="427">
        <f>F34/F4-1</f>
        <v>3.4558769437436299E-2</v>
      </c>
      <c r="G43" s="427">
        <v>6.2162683124037166E-2</v>
      </c>
      <c r="H43" s="427">
        <f>H34/H4-1</f>
        <v>9.9027151590190821E-2</v>
      </c>
    </row>
    <row r="44" spans="1:46" ht="30" x14ac:dyDescent="0.2">
      <c r="B44" s="320" t="s">
        <v>327</v>
      </c>
      <c r="E44" s="427">
        <f t="shared" ref="E44:F49" si="57">E35/E5-1</f>
        <v>1.9558564472486717E-2</v>
      </c>
      <c r="F44" s="427">
        <f t="shared" si="57"/>
        <v>4.2906160211376942E-2</v>
      </c>
      <c r="G44" s="427">
        <v>7.7676246841982932E-2</v>
      </c>
      <c r="H44" s="427">
        <f t="shared" ref="H44" si="58">H35/H5-1</f>
        <v>0.12072677288691414</v>
      </c>
    </row>
    <row r="45" spans="1:46" ht="16.5" x14ac:dyDescent="0.2">
      <c r="B45" s="321" t="s">
        <v>328</v>
      </c>
      <c r="E45" s="427">
        <f t="shared" si="57"/>
        <v>0</v>
      </c>
      <c r="F45" s="427">
        <f t="shared" si="57"/>
        <v>0</v>
      </c>
      <c r="G45" s="427">
        <v>0</v>
      </c>
      <c r="H45" s="427">
        <f t="shared" ref="H45" si="59">H36/H6-1</f>
        <v>0</v>
      </c>
    </row>
    <row r="46" spans="1:46" ht="16.5" x14ac:dyDescent="0.2">
      <c r="B46" s="343" t="s">
        <v>285</v>
      </c>
      <c r="E46" s="427">
        <f t="shared" si="57"/>
        <v>0</v>
      </c>
      <c r="F46" s="427">
        <f t="shared" si="57"/>
        <v>6.530413152951331E-3</v>
      </c>
      <c r="G46" s="427">
        <v>2.1639689689958885E-2</v>
      </c>
      <c r="H46" s="427">
        <f t="shared" ref="H46" si="60">H37/H7-1</f>
        <v>3.967658539175356E-2</v>
      </c>
    </row>
    <row r="47" spans="1:46" ht="16.5" x14ac:dyDescent="0.2">
      <c r="B47" s="320" t="s">
        <v>394</v>
      </c>
      <c r="E47" s="427">
        <f t="shared" si="57"/>
        <v>1.4371518381027792E-2</v>
      </c>
      <c r="F47" s="427">
        <f t="shared" si="57"/>
        <v>3.1931990613862204E-2</v>
      </c>
      <c r="G47" s="427">
        <v>6.1437198241909297E-2</v>
      </c>
      <c r="H47" s="427">
        <f t="shared" ref="H47" si="61">H38/H8-1</f>
        <v>9.6118895397651949E-2</v>
      </c>
    </row>
    <row r="48" spans="1:46" ht="16.5" x14ac:dyDescent="0.2">
      <c r="B48" s="343" t="s">
        <v>396</v>
      </c>
      <c r="E48" s="427">
        <f t="shared" si="57"/>
        <v>3.6833950113345226E-2</v>
      </c>
      <c r="F48" s="427">
        <f t="shared" si="57"/>
        <v>7.9514883342626685E-2</v>
      </c>
      <c r="G48" s="427">
        <v>0.10421197781516844</v>
      </c>
      <c r="H48" s="427">
        <f t="shared" ref="H48" si="62">H39/H9-1</f>
        <v>0.17758049833448597</v>
      </c>
    </row>
    <row r="49" spans="2:8" ht="16.5" x14ac:dyDescent="0.2">
      <c r="B49" s="322" t="s">
        <v>442</v>
      </c>
      <c r="E49" s="427">
        <f t="shared" si="57"/>
        <v>1.1340097176669506E-2</v>
      </c>
      <c r="F49" s="427">
        <f t="shared" si="57"/>
        <v>1.9043190912343411E-2</v>
      </c>
      <c r="G49" s="427">
        <v>2.8224685660749538E-2</v>
      </c>
      <c r="H49" s="427">
        <f t="shared" ref="H49" si="63">H40/H10-1</f>
        <v>9.1274782180409408E-2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531E-7A6A-43D9-91C0-F268BA4DEB04}">
  <sheetPr>
    <tabColor rgb="FFFFFF00"/>
  </sheetPr>
  <dimension ref="B1:M10"/>
  <sheetViews>
    <sheetView workbookViewId="0">
      <selection activeCell="E3" sqref="E3"/>
    </sheetView>
  </sheetViews>
  <sheetFormatPr defaultRowHeight="16.5" x14ac:dyDescent="0.2"/>
  <cols>
    <col min="1" max="1" width="9" style="524"/>
    <col min="2" max="2" width="28.125" style="524" bestFit="1" customWidth="1"/>
    <col min="3" max="3" width="11.625" style="524" bestFit="1" customWidth="1"/>
    <col min="4" max="4" width="12.75" style="524" bestFit="1" customWidth="1"/>
    <col min="5" max="5" width="14.5" style="524" bestFit="1" customWidth="1"/>
    <col min="6" max="6" width="18.5" style="524" bestFit="1" customWidth="1"/>
    <col min="7" max="7" width="12.75" style="524" bestFit="1" customWidth="1"/>
    <col min="8" max="8" width="13.75" style="524" bestFit="1" customWidth="1"/>
    <col min="9" max="9" width="9.25" style="1" bestFit="1" customWidth="1"/>
    <col min="10" max="10" width="4" style="1" bestFit="1" customWidth="1"/>
    <col min="11" max="11" width="9" style="1"/>
    <col min="12" max="12" width="12.5" style="1" bestFit="1" customWidth="1"/>
    <col min="13" max="13" width="9.25" style="1" bestFit="1" customWidth="1"/>
    <col min="14" max="16384" width="9" style="524"/>
  </cols>
  <sheetData>
    <row r="1" spans="2:13" ht="17.25" thickBot="1" x14ac:dyDescent="0.25">
      <c r="I1" s="1" t="s">
        <v>458</v>
      </c>
      <c r="J1" s="195">
        <v>30</v>
      </c>
      <c r="L1" s="1" t="s">
        <v>472</v>
      </c>
      <c r="M1" s="1" t="s">
        <v>473</v>
      </c>
    </row>
    <row r="2" spans="2:13" ht="22.5" x14ac:dyDescent="0.2">
      <c r="B2" s="537" t="s">
        <v>449</v>
      </c>
      <c r="C2" s="538" t="s">
        <v>474</v>
      </c>
      <c r="D2" s="538" t="s">
        <v>443</v>
      </c>
      <c r="E2" s="538" t="s">
        <v>475</v>
      </c>
      <c r="F2" s="538" t="s">
        <v>448</v>
      </c>
      <c r="G2" s="538" t="s">
        <v>444</v>
      </c>
      <c r="H2" s="539" t="s">
        <v>445</v>
      </c>
    </row>
    <row r="3" spans="2:13" ht="22.5" x14ac:dyDescent="0.2">
      <c r="B3" s="547" t="s">
        <v>449</v>
      </c>
      <c r="C3" s="560">
        <v>19241403.958254345</v>
      </c>
      <c r="D3" s="648">
        <f>C3/L3-1</f>
        <v>5.04395899068808E-2</v>
      </c>
      <c r="E3" s="554">
        <f>C3/$J$1</f>
        <v>641380.13194181153</v>
      </c>
      <c r="F3" s="648">
        <f>E3/(L3/30)-1</f>
        <v>5.0439589906881022E-2</v>
      </c>
      <c r="G3" s="556">
        <f>C3/M3-1</f>
        <v>-5.4282525848484697E-3</v>
      </c>
      <c r="H3" s="564"/>
      <c r="L3" s="201">
        <v>18317477.885577459</v>
      </c>
      <c r="M3" s="201">
        <v>19346421.219245281</v>
      </c>
    </row>
    <row r="4" spans="2:13" ht="45" x14ac:dyDescent="0.2">
      <c r="B4" s="548" t="s">
        <v>450</v>
      </c>
      <c r="C4" s="561">
        <v>17271438.453449219</v>
      </c>
      <c r="D4" s="647">
        <f t="shared" ref="D4:D8" si="0">C4/L4-1</f>
        <v>4.8375974786103226E-2</v>
      </c>
      <c r="E4" s="549">
        <f t="shared" ref="E4:E8" si="1">C4/$J$1</f>
        <v>575714.61511497397</v>
      </c>
      <c r="F4" s="647">
        <f t="shared" ref="F4:F8" si="2">E4/(L4/30)-1</f>
        <v>4.8375974786103226E-2</v>
      </c>
      <c r="G4" s="647">
        <f t="shared" ref="G4:G8" si="3">C4/M4-1</f>
        <v>1.6811690077489505E-3</v>
      </c>
      <c r="H4" s="565" t="s">
        <v>452</v>
      </c>
      <c r="L4" s="201">
        <v>16474469.912354732</v>
      </c>
      <c r="M4" s="201">
        <v>17242450.979245283</v>
      </c>
    </row>
    <row r="5" spans="2:13" ht="23.25" thickBot="1" x14ac:dyDescent="0.25">
      <c r="B5" s="540" t="s">
        <v>396</v>
      </c>
      <c r="C5" s="562">
        <v>2061668.9978069996</v>
      </c>
      <c r="D5" s="557">
        <f t="shared" si="0"/>
        <v>8.2659397523662026E-2</v>
      </c>
      <c r="E5" s="550">
        <f t="shared" si="1"/>
        <v>68722.299926899985</v>
      </c>
      <c r="F5" s="557">
        <f t="shared" si="2"/>
        <v>8.2659397523662026E-2</v>
      </c>
      <c r="G5" s="557">
        <f t="shared" si="3"/>
        <v>9.8450615122946505E-2</v>
      </c>
      <c r="H5" s="566" t="s">
        <v>453</v>
      </c>
      <c r="L5" s="201">
        <v>1904263.7070556078</v>
      </c>
      <c r="M5" s="201">
        <v>1876888.2</v>
      </c>
    </row>
    <row r="6" spans="2:13" ht="45" x14ac:dyDescent="0.2">
      <c r="B6" s="541" t="s">
        <v>327</v>
      </c>
      <c r="C6" s="563">
        <v>15974002.024919366</v>
      </c>
      <c r="D6" s="598">
        <f t="shared" si="0"/>
        <v>2.6387976378080102E-2</v>
      </c>
      <c r="E6" s="551">
        <f t="shared" si="1"/>
        <v>532466.73416397884</v>
      </c>
      <c r="F6" s="598">
        <f t="shared" si="2"/>
        <v>2.638797637807988E-2</v>
      </c>
      <c r="G6" s="555">
        <f t="shared" si="3"/>
        <v>-3.1432434881647042E-2</v>
      </c>
      <c r="H6" s="567" t="s">
        <v>454</v>
      </c>
      <c r="L6" s="201">
        <v>15563317.568555759</v>
      </c>
      <c r="M6" s="201">
        <v>16492398.259245282</v>
      </c>
    </row>
    <row r="7" spans="2:13" ht="22.5" x14ac:dyDescent="0.2">
      <c r="B7" s="542" t="s">
        <v>328</v>
      </c>
      <c r="C7" s="552">
        <v>2250000</v>
      </c>
      <c r="D7" s="558">
        <f t="shared" si="0"/>
        <v>0.18421052631578938</v>
      </c>
      <c r="E7" s="552">
        <f t="shared" si="1"/>
        <v>75000</v>
      </c>
      <c r="F7" s="558">
        <f t="shared" si="2"/>
        <v>0.18421052631578938</v>
      </c>
      <c r="G7" s="558">
        <f t="shared" si="3"/>
        <v>1.0833438909270354E-2</v>
      </c>
      <c r="H7" s="568" t="s">
        <v>455</v>
      </c>
      <c r="L7" s="201">
        <v>1900000</v>
      </c>
      <c r="M7" s="201">
        <v>2225886</v>
      </c>
    </row>
    <row r="8" spans="2:13" ht="22.5" x14ac:dyDescent="0.2">
      <c r="B8" s="543" t="s">
        <v>285</v>
      </c>
      <c r="C8" s="594">
        <v>1044268.3411312056</v>
      </c>
      <c r="D8" s="559">
        <f t="shared" si="0"/>
        <v>0.13081855319167923</v>
      </c>
      <c r="E8" s="553">
        <f t="shared" si="1"/>
        <v>34808.94470437352</v>
      </c>
      <c r="F8" s="559">
        <f t="shared" si="2"/>
        <v>0.13081855319167945</v>
      </c>
      <c r="G8" s="559">
        <f t="shared" si="3"/>
        <v>0.66248510696012408</v>
      </c>
      <c r="H8" s="569" t="s">
        <v>446</v>
      </c>
      <c r="L8" s="201">
        <v>923462.33459276904</v>
      </c>
      <c r="M8" s="201">
        <v>628136.95999999903</v>
      </c>
    </row>
    <row r="9" spans="2:13" ht="22.5" x14ac:dyDescent="0.2">
      <c r="B9" s="544" t="s">
        <v>451</v>
      </c>
      <c r="C9" s="546" t="s">
        <v>474</v>
      </c>
      <c r="D9" s="545" t="s">
        <v>456</v>
      </c>
      <c r="E9" s="545" t="s">
        <v>475</v>
      </c>
      <c r="F9" s="545" t="s">
        <v>448</v>
      </c>
      <c r="G9" s="545" t="s">
        <v>457</v>
      </c>
      <c r="H9" s="570" t="s">
        <v>445</v>
      </c>
      <c r="L9" s="7"/>
      <c r="M9" s="7"/>
    </row>
    <row r="10" spans="2:13" ht="23.25" thickBot="1" x14ac:dyDescent="0.25">
      <c r="B10" s="571" t="s">
        <v>398</v>
      </c>
      <c r="C10" s="572">
        <v>61750000</v>
      </c>
      <c r="D10" s="573">
        <f>C10/L10-1</f>
        <v>0.11764705882352944</v>
      </c>
      <c r="E10" s="574">
        <f>C10/$J$1</f>
        <v>2058333.3333333333</v>
      </c>
      <c r="F10" s="573">
        <f>E10/(L10/30)-1</f>
        <v>0.11764705882352922</v>
      </c>
      <c r="G10" s="573">
        <f>C10/M10-1</f>
        <v>0.44699952031860457</v>
      </c>
      <c r="H10" s="575" t="s">
        <v>447</v>
      </c>
      <c r="L10" s="201">
        <v>55250000</v>
      </c>
      <c r="M10" s="201">
        <v>42674513.109999999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98A5-4500-40D1-908F-5820437A6FA7}">
  <sheetPr>
    <tabColor rgb="FFFFC000"/>
  </sheetPr>
  <dimension ref="B3:K21"/>
  <sheetViews>
    <sheetView showGridLines="0" tabSelected="1" workbookViewId="0">
      <selection activeCell="D21" sqref="D21"/>
    </sheetView>
  </sheetViews>
  <sheetFormatPr defaultRowHeight="16.5" x14ac:dyDescent="0.3"/>
  <cols>
    <col min="1" max="1" width="9" style="439"/>
    <col min="2" max="2" width="27.875" style="439" customWidth="1"/>
    <col min="3" max="3" width="10.625" style="439" customWidth="1"/>
    <col min="4" max="4" width="15.5" style="439" bestFit="1" customWidth="1"/>
    <col min="5" max="5" width="11.125" style="439" bestFit="1" customWidth="1"/>
    <col min="6" max="6" width="17.75" style="439" bestFit="1" customWidth="1"/>
    <col min="7" max="7" width="14.125" style="439" bestFit="1" customWidth="1"/>
    <col min="8" max="8" width="15.5" style="439" bestFit="1" customWidth="1"/>
    <col min="9" max="9" width="14.125" style="439" bestFit="1" customWidth="1"/>
    <col min="10" max="10" width="14.375" style="439" customWidth="1"/>
    <col min="11" max="11" width="11" style="439" customWidth="1"/>
    <col min="12" max="16384" width="9" style="439"/>
  </cols>
  <sheetData>
    <row r="3" spans="2:11" ht="18" x14ac:dyDescent="0.3">
      <c r="B3" s="583" t="s">
        <v>476</v>
      </c>
    </row>
    <row r="4" spans="2:11" x14ac:dyDescent="0.3">
      <c r="B4" s="584"/>
    </row>
    <row r="5" spans="2:11" ht="17.25" x14ac:dyDescent="0.3">
      <c r="B5" s="583" t="s">
        <v>477</v>
      </c>
    </row>
    <row r="6" spans="2:11" x14ac:dyDescent="0.3">
      <c r="B6" s="1"/>
    </row>
    <row r="7" spans="2:11" ht="17.25" x14ac:dyDescent="0.3">
      <c r="B7" s="583" t="s">
        <v>479</v>
      </c>
    </row>
    <row r="8" spans="2:11" ht="17.25" x14ac:dyDescent="0.3">
      <c r="B8" s="583" t="s">
        <v>484</v>
      </c>
    </row>
    <row r="10" spans="2:11" ht="23.25" thickBot="1" x14ac:dyDescent="0.35">
      <c r="B10" s="654" t="s">
        <v>480</v>
      </c>
      <c r="C10" s="654"/>
      <c r="D10" s="654"/>
      <c r="E10" s="585"/>
      <c r="F10" s="585"/>
      <c r="G10" s="585"/>
      <c r="H10" s="585"/>
      <c r="I10" s="585"/>
      <c r="J10" s="585"/>
    </row>
    <row r="11" spans="2:11" ht="18" x14ac:dyDescent="0.3">
      <c r="B11" s="599" t="s">
        <v>463</v>
      </c>
      <c r="C11" s="600" t="s">
        <v>474</v>
      </c>
      <c r="D11" s="600" t="s">
        <v>481</v>
      </c>
      <c r="E11" s="600" t="s">
        <v>475</v>
      </c>
      <c r="F11" s="600" t="s">
        <v>482</v>
      </c>
      <c r="G11" s="600" t="s">
        <v>469</v>
      </c>
      <c r="H11" s="601" t="s">
        <v>483</v>
      </c>
      <c r="I11" s="601" t="s">
        <v>470</v>
      </c>
      <c r="J11" s="602" t="s">
        <v>445</v>
      </c>
      <c r="K11" s="603" t="s">
        <v>460</v>
      </c>
    </row>
    <row r="12" spans="2:11" ht="18" x14ac:dyDescent="0.3">
      <c r="B12" s="604" t="s">
        <v>463</v>
      </c>
      <c r="C12" s="605">
        <v>19241403.958254345</v>
      </c>
      <c r="D12" s="649">
        <v>5.04395899068808E-2</v>
      </c>
      <c r="E12" s="606">
        <v>641380.13194181153</v>
      </c>
      <c r="F12" s="649">
        <v>5.0439589906881022E-2</v>
      </c>
      <c r="G12" s="607">
        <v>-5.4282525848484697E-3</v>
      </c>
      <c r="H12" s="608">
        <v>2781284.4230822669</v>
      </c>
      <c r="I12" s="651">
        <v>3.7361744145404163E-2</v>
      </c>
      <c r="J12" s="609"/>
      <c r="K12" s="610" t="s">
        <v>461</v>
      </c>
    </row>
    <row r="13" spans="2:11" ht="34.5" x14ac:dyDescent="0.3">
      <c r="B13" s="611" t="s">
        <v>486</v>
      </c>
      <c r="C13" s="612">
        <v>17271438.453449219</v>
      </c>
      <c r="D13" s="650">
        <v>4.8375974786103226E-2</v>
      </c>
      <c r="E13" s="613">
        <v>575714.61511497397</v>
      </c>
      <c r="F13" s="650">
        <v>4.8375974786103226E-2</v>
      </c>
      <c r="G13" s="650">
        <v>1.6811690077489505E-3</v>
      </c>
      <c r="H13" s="614">
        <v>2344728.6142864395</v>
      </c>
      <c r="I13" s="652">
        <v>7.0418457818463454E-2</v>
      </c>
      <c r="J13" s="615" t="s">
        <v>452</v>
      </c>
      <c r="K13" s="616" t="s">
        <v>461</v>
      </c>
    </row>
    <row r="14" spans="2:11" ht="27.75" customHeight="1" thickBot="1" x14ac:dyDescent="0.35">
      <c r="B14" s="617" t="s">
        <v>485</v>
      </c>
      <c r="C14" s="618">
        <v>2061668.9978069996</v>
      </c>
      <c r="D14" s="620">
        <v>8.2659397523662026E-2</v>
      </c>
      <c r="E14" s="619">
        <v>68722.299926899985</v>
      </c>
      <c r="F14" s="620">
        <v>8.2659397523662026E-2</v>
      </c>
      <c r="G14" s="620">
        <v>9.8450615122946505E-2</v>
      </c>
      <c r="H14" s="621">
        <v>461093.0252126868</v>
      </c>
      <c r="I14" s="622">
        <v>8.2668373925344873E-2</v>
      </c>
      <c r="J14" s="623" t="s">
        <v>453</v>
      </c>
      <c r="K14" s="624" t="s">
        <v>461</v>
      </c>
    </row>
    <row r="15" spans="2:11" ht="36" x14ac:dyDescent="0.3">
      <c r="B15" s="625" t="s">
        <v>283</v>
      </c>
      <c r="C15" s="626">
        <v>15974002.024919366</v>
      </c>
      <c r="D15" s="627">
        <v>2.6387976378080102E-2</v>
      </c>
      <c r="E15" s="628">
        <v>532466.73416397884</v>
      </c>
      <c r="F15" s="627">
        <v>2.638797637807988E-2</v>
      </c>
      <c r="G15" s="629">
        <v>-3.1432434881647042E-2</v>
      </c>
      <c r="H15" s="630">
        <v>2114819.8953773384</v>
      </c>
      <c r="I15" s="631">
        <v>-4.9037476437756244E-2</v>
      </c>
      <c r="J15" s="632" t="s">
        <v>454</v>
      </c>
      <c r="K15" s="633" t="s">
        <v>461</v>
      </c>
    </row>
    <row r="16" spans="2:11" ht="33.75" customHeight="1" x14ac:dyDescent="0.3">
      <c r="B16" s="634" t="s">
        <v>328</v>
      </c>
      <c r="C16" s="635">
        <v>2250000</v>
      </c>
      <c r="D16" s="636">
        <v>0.18421052631578938</v>
      </c>
      <c r="E16" s="635">
        <v>75000</v>
      </c>
      <c r="F16" s="636">
        <v>0.18421052631578938</v>
      </c>
      <c r="G16" s="636">
        <v>1.0833438909270354E-2</v>
      </c>
      <c r="H16" s="637">
        <v>365112.79163314571</v>
      </c>
      <c r="I16" s="638">
        <v>0.25131753293591252</v>
      </c>
      <c r="J16" s="615" t="s">
        <v>455</v>
      </c>
      <c r="K16" s="616" t="s">
        <v>462</v>
      </c>
    </row>
    <row r="17" spans="2:11" ht="33.75" customHeight="1" thickBot="1" x14ac:dyDescent="0.35">
      <c r="B17" s="639" t="s">
        <v>285</v>
      </c>
      <c r="C17" s="640">
        <v>1044268.3411312056</v>
      </c>
      <c r="D17" s="641">
        <v>0.13081855319167923</v>
      </c>
      <c r="E17" s="642">
        <v>34808.94470437352</v>
      </c>
      <c r="F17" s="641">
        <v>0.13081855319167945</v>
      </c>
      <c r="G17" s="641">
        <v>0.66248510696012408</v>
      </c>
      <c r="H17" s="643">
        <v>289610.41994038766</v>
      </c>
      <c r="I17" s="644">
        <v>0.75035981175404931</v>
      </c>
      <c r="J17" s="645" t="s">
        <v>446</v>
      </c>
      <c r="K17" s="646" t="s">
        <v>466</v>
      </c>
    </row>
    <row r="18" spans="2:11" x14ac:dyDescent="0.3">
      <c r="B18" s="586"/>
    </row>
    <row r="19" spans="2:11" ht="18" x14ac:dyDescent="0.3">
      <c r="B19" s="587" t="s">
        <v>478</v>
      </c>
    </row>
    <row r="20" spans="2:11" x14ac:dyDescent="0.3">
      <c r="B20" s="586"/>
    </row>
    <row r="21" spans="2:11" ht="17.25" x14ac:dyDescent="0.3">
      <c r="B21" s="588" t="s">
        <v>465</v>
      </c>
    </row>
  </sheetData>
  <mergeCells count="1">
    <mergeCell ref="B10:D10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5F93-CE2A-4C13-A4EC-C797077D64B9}">
  <dimension ref="B1:BM28"/>
  <sheetViews>
    <sheetView showGridLines="0" showZeros="0" workbookViewId="0">
      <selection activeCell="B1" sqref="B1"/>
    </sheetView>
  </sheetViews>
  <sheetFormatPr defaultRowHeight="16.5" x14ac:dyDescent="0.2"/>
  <cols>
    <col min="1" max="1" width="2.5" style="211" customWidth="1"/>
    <col min="2" max="2" width="16.875" style="211" customWidth="1"/>
    <col min="3" max="14" width="9" style="211"/>
    <col min="15" max="15" width="10.125" style="211" bestFit="1" customWidth="1"/>
    <col min="16" max="21" width="9" style="211"/>
    <col min="22" max="23" width="2.5" style="211" customWidth="1"/>
    <col min="24" max="24" width="19.125" style="211" customWidth="1"/>
    <col min="25" max="25" width="11.375" style="211" bestFit="1" customWidth="1"/>
    <col min="26" max="43" width="9" style="211"/>
    <col min="44" max="44" width="14.5" style="1" customWidth="1"/>
    <col min="45" max="45" width="9.625" style="6" bestFit="1" customWidth="1"/>
    <col min="46" max="46" width="16.75" style="211" customWidth="1"/>
    <col min="47" max="16384" width="9" style="211"/>
  </cols>
  <sheetData>
    <row r="1" spans="2:65" x14ac:dyDescent="0.2">
      <c r="B1" s="279" t="s">
        <v>291</v>
      </c>
      <c r="X1" s="279" t="s">
        <v>292</v>
      </c>
      <c r="AT1" s="74" t="s">
        <v>293</v>
      </c>
    </row>
    <row r="2" spans="2:65" x14ac:dyDescent="0.2">
      <c r="B2" s="90" t="s">
        <v>276</v>
      </c>
      <c r="C2" s="91" t="s">
        <v>92</v>
      </c>
      <c r="D2" s="91" t="s">
        <v>93</v>
      </c>
      <c r="E2" s="91" t="s">
        <v>61</v>
      </c>
      <c r="F2" s="91" t="s">
        <v>62</v>
      </c>
      <c r="G2" s="91" t="s">
        <v>63</v>
      </c>
      <c r="H2" s="91" t="s">
        <v>64</v>
      </c>
      <c r="I2" s="91" t="s">
        <v>65</v>
      </c>
      <c r="J2" s="91" t="s">
        <v>66</v>
      </c>
      <c r="K2" s="91" t="s">
        <v>67</v>
      </c>
      <c r="L2" s="91" t="s">
        <v>68</v>
      </c>
      <c r="M2" s="91" t="s">
        <v>69</v>
      </c>
      <c r="N2" s="91" t="s">
        <v>94</v>
      </c>
      <c r="O2" s="92" t="s">
        <v>277</v>
      </c>
      <c r="P2" s="285" t="s">
        <v>278</v>
      </c>
      <c r="Q2" s="92" t="s">
        <v>279</v>
      </c>
      <c r="R2" s="91" t="s">
        <v>280</v>
      </c>
      <c r="S2" s="91" t="s">
        <v>126</v>
      </c>
      <c r="T2" s="91" t="s">
        <v>281</v>
      </c>
      <c r="U2" s="92" t="s">
        <v>150</v>
      </c>
      <c r="X2" s="90" t="s">
        <v>4</v>
      </c>
      <c r="Y2" s="91" t="s">
        <v>92</v>
      </c>
      <c r="Z2" s="91" t="s">
        <v>93</v>
      </c>
      <c r="AA2" s="91" t="s">
        <v>61</v>
      </c>
      <c r="AB2" s="91" t="s">
        <v>62</v>
      </c>
      <c r="AC2" s="91" t="s">
        <v>63</v>
      </c>
      <c r="AD2" s="91" t="s">
        <v>64</v>
      </c>
      <c r="AE2" s="91" t="s">
        <v>65</v>
      </c>
      <c r="AF2" s="91" t="s">
        <v>66</v>
      </c>
      <c r="AG2" s="91" t="s">
        <v>67</v>
      </c>
      <c r="AH2" s="91" t="s">
        <v>68</v>
      </c>
      <c r="AI2" s="91" t="s">
        <v>69</v>
      </c>
      <c r="AJ2" s="91" t="s">
        <v>94</v>
      </c>
      <c r="AK2" s="92" t="s">
        <v>277</v>
      </c>
      <c r="AL2" s="285" t="s">
        <v>278</v>
      </c>
      <c r="AM2" s="92" t="s">
        <v>279</v>
      </c>
      <c r="AN2" s="285" t="s">
        <v>280</v>
      </c>
      <c r="AO2" s="91" t="s">
        <v>126</v>
      </c>
      <c r="AP2" s="91" t="s">
        <v>281</v>
      </c>
      <c r="AQ2" s="287" t="s">
        <v>150</v>
      </c>
      <c r="AR2" s="6" t="s">
        <v>295</v>
      </c>
      <c r="AS2" s="6" t="s">
        <v>288</v>
      </c>
      <c r="AT2" s="90" t="s">
        <v>275</v>
      </c>
      <c r="AU2" s="91" t="s">
        <v>92</v>
      </c>
      <c r="AV2" s="91" t="s">
        <v>93</v>
      </c>
      <c r="AW2" s="91" t="s">
        <v>61</v>
      </c>
      <c r="AX2" s="91" t="s">
        <v>62</v>
      </c>
      <c r="AY2" s="91" t="s">
        <v>63</v>
      </c>
      <c r="AZ2" s="91" t="s">
        <v>64</v>
      </c>
      <c r="BA2" s="91" t="s">
        <v>65</v>
      </c>
      <c r="BB2" s="91" t="s">
        <v>66</v>
      </c>
      <c r="BC2" s="91" t="s">
        <v>67</v>
      </c>
      <c r="BD2" s="91" t="s">
        <v>68</v>
      </c>
      <c r="BE2" s="91" t="s">
        <v>69</v>
      </c>
      <c r="BF2" s="91" t="s">
        <v>94</v>
      </c>
      <c r="BG2" s="92" t="s">
        <v>277</v>
      </c>
      <c r="BH2" s="285" t="s">
        <v>278</v>
      </c>
      <c r="BI2" s="92" t="s">
        <v>279</v>
      </c>
      <c r="BJ2" s="285" t="s">
        <v>280</v>
      </c>
      <c r="BK2" s="91" t="s">
        <v>126</v>
      </c>
      <c r="BL2" s="91" t="s">
        <v>281</v>
      </c>
      <c r="BM2" s="287" t="s">
        <v>150</v>
      </c>
    </row>
    <row r="3" spans="2:65" x14ac:dyDescent="0.2">
      <c r="B3" s="166" t="s">
        <v>7</v>
      </c>
      <c r="C3" s="167">
        <v>127388368.47902389</v>
      </c>
      <c r="D3" s="167">
        <v>85534046.82075642</v>
      </c>
      <c r="E3" s="167">
        <v>94239614.877680585</v>
      </c>
      <c r="F3" s="167">
        <v>91836916.86427255</v>
      </c>
      <c r="G3" s="167">
        <v>84118516.555482209</v>
      </c>
      <c r="H3" s="167">
        <v>81521373.15796186</v>
      </c>
      <c r="I3" s="167">
        <v>84049738.0011812</v>
      </c>
      <c r="J3" s="167">
        <v>86148065.004239365</v>
      </c>
      <c r="K3" s="167">
        <v>85154688.220267132</v>
      </c>
      <c r="L3" s="167">
        <v>87882599.720980331</v>
      </c>
      <c r="M3" s="167">
        <v>101978692.2618012</v>
      </c>
      <c r="N3" s="167">
        <v>103838542.14299354</v>
      </c>
      <c r="O3" s="168">
        <v>1113691162.1066403</v>
      </c>
      <c r="P3" s="167">
        <f>SUM(C3:H3)</f>
        <v>564638836.7551775</v>
      </c>
      <c r="Q3" s="168">
        <f>SUM(I3:N3)</f>
        <v>549052325.35146272</v>
      </c>
      <c r="R3" s="167">
        <f>SUM(C3:E3)</f>
        <v>307162030.17746091</v>
      </c>
      <c r="S3" s="167">
        <f>SUM(F3:H3)</f>
        <v>257476806.57771659</v>
      </c>
      <c r="T3" s="167">
        <f>SUM(I3:K3)</f>
        <v>255352491.22568768</v>
      </c>
      <c r="U3" s="168">
        <f>SUM(L3:N3)</f>
        <v>293699834.1257751</v>
      </c>
      <c r="X3" s="166" t="s">
        <v>7</v>
      </c>
      <c r="Y3" s="167">
        <v>29005815.903373614</v>
      </c>
      <c r="Z3" s="167">
        <v>18711086.275774997</v>
      </c>
      <c r="AA3" s="167">
        <v>20581139.389640044</v>
      </c>
      <c r="AB3" s="167">
        <v>20983851.404579692</v>
      </c>
      <c r="AC3" s="167">
        <v>19170312.955093116</v>
      </c>
      <c r="AD3" s="167">
        <v>19119062.678087704</v>
      </c>
      <c r="AE3" s="167">
        <v>18493961.519316722</v>
      </c>
      <c r="AF3" s="167">
        <v>19086307.005815782</v>
      </c>
      <c r="AG3" s="167">
        <v>18941757.661895219</v>
      </c>
      <c r="AH3" s="167">
        <v>19345424.731625628</v>
      </c>
      <c r="AI3" s="167">
        <v>23671327.440295756</v>
      </c>
      <c r="AJ3" s="167">
        <v>24015703.80718438</v>
      </c>
      <c r="AK3" s="168">
        <v>251125750.77268267</v>
      </c>
      <c r="AL3" s="167">
        <f>SUM(Y3:AD3)</f>
        <v>127571268.60654917</v>
      </c>
      <c r="AM3" s="168">
        <f>SUM(AE3:AJ3)</f>
        <v>123554482.16613349</v>
      </c>
      <c r="AN3" s="167">
        <f>SUM(Y3:AA3)</f>
        <v>68298041.568788663</v>
      </c>
      <c r="AO3" s="167">
        <f>SUM(AB3:AD3)</f>
        <v>59273227.037760511</v>
      </c>
      <c r="AP3" s="167">
        <f>SUM(AE3:AG3)</f>
        <v>56522026.187027723</v>
      </c>
      <c r="AQ3" s="168">
        <f>SUM(AH3:AJ3)</f>
        <v>67032455.979105771</v>
      </c>
      <c r="AR3" s="70">
        <f>SUM(Y3:AI3)</f>
        <v>227110046.96549827</v>
      </c>
      <c r="AS3" s="6">
        <v>1.1200000000000001</v>
      </c>
      <c r="AT3" s="166" t="s">
        <v>7</v>
      </c>
      <c r="AU3" s="283">
        <f>Y3*1.12/C3</f>
        <v>0.25501946684502652</v>
      </c>
      <c r="AV3" s="283">
        <f t="shared" ref="AV3:AV8" si="0">Z3*1.12/D3</f>
        <v>0.24500672431393175</v>
      </c>
      <c r="AW3" s="283">
        <f t="shared" ref="AW3:AW8" si="1">AA3*1.12/E3</f>
        <v>0.24459858145978214</v>
      </c>
      <c r="AX3" s="283">
        <f t="shared" ref="AX3:AX8" si="2">AB3*1.12/F3</f>
        <v>0.2559092179440558</v>
      </c>
      <c r="AY3" s="283">
        <f t="shared" ref="AY3:AY8" si="3">AC3*1.12/G3</f>
        <v>0.25524404600671707</v>
      </c>
      <c r="AZ3" s="283">
        <f t="shared" ref="AZ3:AZ8" si="4">AD3*1.12/H3</f>
        <v>0.26267160831511183</v>
      </c>
      <c r="BA3" s="283">
        <f t="shared" ref="BA3:BA8" si="5">AE3*1.12/I3</f>
        <v>0.24644023163217516</v>
      </c>
      <c r="BB3" s="283">
        <f t="shared" ref="BB3:BB8" si="6">AF3*1.12/J3</f>
        <v>0.24813864183091897</v>
      </c>
      <c r="BC3" s="283">
        <f t="shared" ref="BC3:BC8" si="7">AG3*1.12/K3</f>
        <v>0.24913212677670815</v>
      </c>
      <c r="BD3" s="283">
        <f t="shared" ref="BD3:BD8" si="8">AH3*1.12/L3</f>
        <v>0.2465434086862606</v>
      </c>
      <c r="BE3" s="283">
        <f t="shared" ref="BE3:BE8" si="9">AI3*1.12/M3</f>
        <v>0.25997476673920805</v>
      </c>
      <c r="BF3" s="283">
        <f t="shared" ref="BF3:BF8" si="10">AJ3*1.12/N3</f>
        <v>0.25903279946868374</v>
      </c>
      <c r="BG3" s="284">
        <f t="shared" ref="BG3:BG8" si="11">AK3*1.12/O3</f>
        <v>0.25254832797036486</v>
      </c>
      <c r="BH3" s="283">
        <f t="shared" ref="BH3:BH8" si="12">AL3*1.12/P3</f>
        <v>0.25304639273562146</v>
      </c>
      <c r="BI3" s="284">
        <f t="shared" ref="BI3:BI8" si="13">AM3*1.12/Q3</f>
        <v>0.25203612412985998</v>
      </c>
      <c r="BJ3" s="283">
        <f t="shared" ref="BJ3:BJ8" si="14">AN3*1.12/R3</f>
        <v>0.24903405708332343</v>
      </c>
      <c r="BK3" s="283">
        <f t="shared" ref="BK3:BK8" si="15">AO3*1.12/S3</f>
        <v>0.25783298761806678</v>
      </c>
      <c r="BL3" s="283">
        <f t="shared" ref="BL3:BL8" si="16">AP3*1.12/T3</f>
        <v>0.24791091336375728</v>
      </c>
      <c r="BM3" s="284">
        <f t="shared" ref="BM3:BM8" si="17">AQ3*1.12/U3</f>
        <v>0.25562272079611559</v>
      </c>
    </row>
    <row r="4" spans="2:65" ht="30" x14ac:dyDescent="0.2">
      <c r="B4" s="296" t="s">
        <v>283</v>
      </c>
      <c r="C4" s="297">
        <v>124034751.04030252</v>
      </c>
      <c r="D4" s="297">
        <v>82829808.264090762</v>
      </c>
      <c r="E4" s="297">
        <v>91090450.131573066</v>
      </c>
      <c r="F4" s="297">
        <v>88308162.572685644</v>
      </c>
      <c r="G4" s="298">
        <v>80969840.387497604</v>
      </c>
      <c r="H4" s="298">
        <v>78277273.489230812</v>
      </c>
      <c r="I4" s="298">
        <v>81113372.607920095</v>
      </c>
      <c r="J4" s="298">
        <v>82913117.107754499</v>
      </c>
      <c r="K4" s="298">
        <v>81801591.746391878</v>
      </c>
      <c r="L4" s="298">
        <v>84439243.624182522</v>
      </c>
      <c r="M4" s="298">
        <v>97973275.524311215</v>
      </c>
      <c r="N4" s="298">
        <v>99940275.610699654</v>
      </c>
      <c r="O4" s="299">
        <v>1073691162.1066403</v>
      </c>
      <c r="P4" s="298">
        <f t="shared" ref="P4:P8" si="18">SUM(C4:H4)</f>
        <v>545510285.88538051</v>
      </c>
      <c r="Q4" s="299">
        <f t="shared" ref="Q4:Q8" si="19">SUM(I4:N4)</f>
        <v>528180876.22125983</v>
      </c>
      <c r="R4" s="298">
        <f t="shared" ref="R4:R8" si="20">SUM(C4:E4)</f>
        <v>297955009.43596637</v>
      </c>
      <c r="S4" s="298">
        <f t="shared" ref="S4:S8" si="21">SUM(F4:H4)</f>
        <v>247555276.44941407</v>
      </c>
      <c r="T4" s="298">
        <f t="shared" ref="T4:T8" si="22">SUM(I4:K4)</f>
        <v>245828081.46206647</v>
      </c>
      <c r="U4" s="299">
        <f t="shared" ref="U4:U8" si="23">SUM(L4:N4)</f>
        <v>282352794.75919342</v>
      </c>
      <c r="X4" s="296" t="s">
        <v>283</v>
      </c>
      <c r="Y4" s="297">
        <v>28645815.903373614</v>
      </c>
      <c r="Z4" s="297">
        <v>18418388.533128984</v>
      </c>
      <c r="AA4" s="297">
        <v>20212408.560857482</v>
      </c>
      <c r="AB4" s="297">
        <v>20593967.050821245</v>
      </c>
      <c r="AC4" s="298">
        <v>18790456.19226538</v>
      </c>
      <c r="AD4" s="298">
        <v>18770946.651816744</v>
      </c>
      <c r="AE4" s="298">
        <v>18132277.90480661</v>
      </c>
      <c r="AF4" s="298">
        <v>18686307.005815782</v>
      </c>
      <c r="AG4" s="298">
        <v>18522033.661075335</v>
      </c>
      <c r="AH4" s="298">
        <v>18922925.921325598</v>
      </c>
      <c r="AI4" s="298">
        <v>23220670.633618083</v>
      </c>
      <c r="AJ4" s="298">
        <v>23566695.610920649</v>
      </c>
      <c r="AK4" s="299">
        <v>246482893.62982553</v>
      </c>
      <c r="AL4" s="298">
        <f t="shared" ref="AL4:AL8" si="24">SUM(Y4:AD4)</f>
        <v>125431982.89226344</v>
      </c>
      <c r="AM4" s="299">
        <f t="shared" ref="AM4:AM8" si="25">SUM(AE4:AJ4)</f>
        <v>121050910.73756206</v>
      </c>
      <c r="AN4" s="298">
        <f t="shared" ref="AN4:AN8" si="26">SUM(Y4:AA4)</f>
        <v>67276612.99736008</v>
      </c>
      <c r="AO4" s="298">
        <f t="shared" ref="AO4:AO8" si="27">SUM(AB4:AD4)</f>
        <v>58155369.894903362</v>
      </c>
      <c r="AP4" s="298">
        <f t="shared" ref="AP4:AP8" si="28">SUM(AE4:AG4)</f>
        <v>55340618.571697727</v>
      </c>
      <c r="AQ4" s="299">
        <f t="shared" ref="AQ4:AQ8" si="29">SUM(AH4:AJ4)</f>
        <v>65710292.165864334</v>
      </c>
      <c r="AR4" s="70">
        <f t="shared" ref="AR4:AR9" si="30">SUM(Y4:AI4)</f>
        <v>222916198.01890483</v>
      </c>
      <c r="AS4" s="6">
        <v>1.1200000000000001</v>
      </c>
      <c r="AT4" s="296" t="s">
        <v>283</v>
      </c>
      <c r="AU4" s="305">
        <f t="shared" ref="AU4:AU8" si="31">Y4*1.12/C4</f>
        <v>0.25866391106274439</v>
      </c>
      <c r="AV4" s="305">
        <f t="shared" si="0"/>
        <v>0.24904796460874568</v>
      </c>
      <c r="AW4" s="305">
        <f t="shared" si="1"/>
        <v>0.24852108596962361</v>
      </c>
      <c r="AX4" s="305">
        <f t="shared" si="2"/>
        <v>0.26119038631264696</v>
      </c>
      <c r="AY4" s="306">
        <f t="shared" si="3"/>
        <v>0.25991543066678435</v>
      </c>
      <c r="AZ4" s="306">
        <f t="shared" si="4"/>
        <v>0.26857680796619865</v>
      </c>
      <c r="BA4" s="306">
        <f t="shared" si="5"/>
        <v>0.25036748689451571</v>
      </c>
      <c r="BB4" s="306">
        <f t="shared" si="6"/>
        <v>0.25241680178679848</v>
      </c>
      <c r="BC4" s="306">
        <f t="shared" si="7"/>
        <v>0.25359748212135963</v>
      </c>
      <c r="BD4" s="306">
        <f t="shared" si="8"/>
        <v>0.25099321266083702</v>
      </c>
      <c r="BE4" s="306">
        <f t="shared" si="9"/>
        <v>0.26545148123784845</v>
      </c>
      <c r="BF4" s="306">
        <f t="shared" si="10"/>
        <v>0.26410472577689492</v>
      </c>
      <c r="BG4" s="307">
        <f t="shared" si="11"/>
        <v>0.25711382435500191</v>
      </c>
      <c r="BH4" s="306">
        <f t="shared" si="12"/>
        <v>0.25752735461500115</v>
      </c>
      <c r="BI4" s="307">
        <f t="shared" si="13"/>
        <v>0.25668672632758299</v>
      </c>
      <c r="BJ4" s="306">
        <f t="shared" si="14"/>
        <v>0.25288987991737977</v>
      </c>
      <c r="BK4" s="306">
        <f t="shared" si="15"/>
        <v>0.26310897192935162</v>
      </c>
      <c r="BL4" s="306">
        <f t="shared" si="16"/>
        <v>0.25213349277131214</v>
      </c>
      <c r="BM4" s="307">
        <f t="shared" si="17"/>
        <v>0.26065096075473426</v>
      </c>
    </row>
    <row r="5" spans="2:65" ht="33" x14ac:dyDescent="0.2">
      <c r="B5" s="300" t="s">
        <v>284</v>
      </c>
      <c r="C5" s="288">
        <v>100394862.39046521</v>
      </c>
      <c r="D5" s="288">
        <v>67207084.373510763</v>
      </c>
      <c r="E5" s="288">
        <v>73891482.275422111</v>
      </c>
      <c r="F5" s="288">
        <v>71663193.991808489</v>
      </c>
      <c r="G5" s="289">
        <v>65703961.963920742</v>
      </c>
      <c r="H5" s="289">
        <v>63558635.793404102</v>
      </c>
      <c r="I5" s="289">
        <v>65907430.253376164</v>
      </c>
      <c r="J5" s="289">
        <v>67402668.03576228</v>
      </c>
      <c r="K5" s="289">
        <v>66353311.295365907</v>
      </c>
      <c r="L5" s="289">
        <v>68493914.245051801</v>
      </c>
      <c r="M5" s="289">
        <v>79465400.956604585</v>
      </c>
      <c r="N5" s="289">
        <v>81049050.095604762</v>
      </c>
      <c r="O5" s="290">
        <v>871090995.67029691</v>
      </c>
      <c r="P5" s="289">
        <f t="shared" si="18"/>
        <v>442419220.78853142</v>
      </c>
      <c r="Q5" s="290">
        <f t="shared" si="19"/>
        <v>428671774.88176548</v>
      </c>
      <c r="R5" s="289">
        <f t="shared" si="20"/>
        <v>241493429.03939807</v>
      </c>
      <c r="S5" s="289">
        <f t="shared" si="21"/>
        <v>200925791.74913335</v>
      </c>
      <c r="T5" s="289">
        <f t="shared" si="22"/>
        <v>199663409.58450434</v>
      </c>
      <c r="U5" s="290">
        <f t="shared" si="23"/>
        <v>229008365.29726118</v>
      </c>
      <c r="X5" s="300" t="s">
        <v>284</v>
      </c>
      <c r="Y5" s="288">
        <v>25036443.099548526</v>
      </c>
      <c r="Z5" s="288">
        <v>16112983.477956571</v>
      </c>
      <c r="AA5" s="288">
        <v>17680784.951038059</v>
      </c>
      <c r="AB5" s="288">
        <v>18016483.388406906</v>
      </c>
      <c r="AC5" s="289">
        <v>16438390.425135646</v>
      </c>
      <c r="AD5" s="289">
        <v>16424521.639131594</v>
      </c>
      <c r="AE5" s="289">
        <v>15871298.623977456</v>
      </c>
      <c r="AF5" s="289">
        <v>16359118.017548151</v>
      </c>
      <c r="AG5" s="289">
        <v>16201558.136838667</v>
      </c>
      <c r="AH5" s="289">
        <v>16552467.12388584</v>
      </c>
      <c r="AI5" s="289">
        <v>20310276.664578781</v>
      </c>
      <c r="AJ5" s="289">
        <v>20611912.163666569</v>
      </c>
      <c r="AK5" s="290">
        <v>215616237.71171278</v>
      </c>
      <c r="AL5" s="289">
        <f t="shared" si="24"/>
        <v>109709606.98121729</v>
      </c>
      <c r="AM5" s="290">
        <f t="shared" si="25"/>
        <v>105906630.73049545</v>
      </c>
      <c r="AN5" s="289">
        <f t="shared" si="26"/>
        <v>58830211.528543159</v>
      </c>
      <c r="AO5" s="289">
        <f t="shared" si="27"/>
        <v>50879395.45267415</v>
      </c>
      <c r="AP5" s="289">
        <f t="shared" si="28"/>
        <v>48431974.778364271</v>
      </c>
      <c r="AQ5" s="290">
        <f t="shared" si="29"/>
        <v>57474655.952131189</v>
      </c>
      <c r="AR5" s="70">
        <f t="shared" si="30"/>
        <v>195004325.54804617</v>
      </c>
      <c r="AS5" s="6">
        <v>1.1200000000000001</v>
      </c>
      <c r="AT5" s="300" t="s">
        <v>284</v>
      </c>
      <c r="AU5" s="308">
        <f t="shared" si="31"/>
        <v>0.27930529116555136</v>
      </c>
      <c r="AV5" s="308">
        <f t="shared" si="0"/>
        <v>0.26852141650745809</v>
      </c>
      <c r="AW5" s="308">
        <f t="shared" si="1"/>
        <v>0.26799407097222838</v>
      </c>
      <c r="AX5" s="308">
        <f t="shared" si="2"/>
        <v>0.28157357035080305</v>
      </c>
      <c r="AY5" s="309">
        <f t="shared" si="3"/>
        <v>0.28021137121474871</v>
      </c>
      <c r="AZ5" s="309">
        <f t="shared" si="4"/>
        <v>0.28942509552315476</v>
      </c>
      <c r="BA5" s="309">
        <f t="shared" si="5"/>
        <v>0.26970941501613427</v>
      </c>
      <c r="BB5" s="309">
        <f t="shared" si="6"/>
        <v>0.27183215017442031</v>
      </c>
      <c r="BC5" s="309">
        <f t="shared" si="7"/>
        <v>0.27347158354290907</v>
      </c>
      <c r="BD5" s="309">
        <f t="shared" si="8"/>
        <v>0.2706629250655132</v>
      </c>
      <c r="BE5" s="309">
        <f t="shared" si="9"/>
        <v>0.28625678081899403</v>
      </c>
      <c r="BF5" s="309">
        <f t="shared" si="10"/>
        <v>0.28483173579548787</v>
      </c>
      <c r="BG5" s="310">
        <f t="shared" si="11"/>
        <v>0.27722727870845887</v>
      </c>
      <c r="BH5" s="309">
        <f t="shared" si="12"/>
        <v>0.27773377386263093</v>
      </c>
      <c r="BI5" s="310">
        <f t="shared" si="13"/>
        <v>0.27670454032312009</v>
      </c>
      <c r="BJ5" s="309">
        <f t="shared" si="14"/>
        <v>0.2728431873863485</v>
      </c>
      <c r="BK5" s="309">
        <f t="shared" si="15"/>
        <v>0.28361178727190878</v>
      </c>
      <c r="BL5" s="309">
        <f t="shared" si="16"/>
        <v>0.27167627691347301</v>
      </c>
      <c r="BM5" s="310">
        <f t="shared" si="17"/>
        <v>0.28108848592858277</v>
      </c>
    </row>
    <row r="6" spans="2:65" x14ac:dyDescent="0.2">
      <c r="B6" s="294" t="s">
        <v>274</v>
      </c>
      <c r="C6" s="291">
        <v>11811973.873062024</v>
      </c>
      <c r="D6" s="291">
        <v>6975715.7430496644</v>
      </c>
      <c r="E6" s="291">
        <v>10161090.596071396</v>
      </c>
      <c r="F6" s="291">
        <v>10179772.939000325</v>
      </c>
      <c r="G6" s="292">
        <v>7414080.3295712033</v>
      </c>
      <c r="H6" s="292">
        <v>9520356.6292706542</v>
      </c>
      <c r="I6" s="292">
        <v>5242451.0767689086</v>
      </c>
      <c r="J6" s="292">
        <v>5538231.7518948363</v>
      </c>
      <c r="K6" s="292">
        <v>8015284.4671235988</v>
      </c>
      <c r="L6" s="292">
        <v>10890354.327321708</v>
      </c>
      <c r="M6" s="292">
        <v>10966638.17529566</v>
      </c>
      <c r="N6" s="292">
        <v>9640319.1937365904</v>
      </c>
      <c r="O6" s="293">
        <v>106356269.10216659</v>
      </c>
      <c r="P6" s="292">
        <f t="shared" si="18"/>
        <v>56062990.110025272</v>
      </c>
      <c r="Q6" s="293">
        <f t="shared" si="19"/>
        <v>50293278.992141299</v>
      </c>
      <c r="R6" s="292">
        <f t="shared" si="20"/>
        <v>28948780.212183084</v>
      </c>
      <c r="S6" s="292">
        <f t="shared" si="21"/>
        <v>27114209.897842184</v>
      </c>
      <c r="T6" s="292">
        <f t="shared" si="22"/>
        <v>18795967.295787342</v>
      </c>
      <c r="U6" s="293">
        <f t="shared" si="23"/>
        <v>31497311.696353957</v>
      </c>
      <c r="X6" s="294" t="s">
        <v>274</v>
      </c>
      <c r="Y6" s="291">
        <v>2148000</v>
      </c>
      <c r="Z6" s="291">
        <v>1390000</v>
      </c>
      <c r="AA6" s="291">
        <v>2077000</v>
      </c>
      <c r="AB6" s="291">
        <v>2338000</v>
      </c>
      <c r="AC6" s="292">
        <v>1600000</v>
      </c>
      <c r="AD6" s="292">
        <v>2255000</v>
      </c>
      <c r="AE6" s="292">
        <v>1261000</v>
      </c>
      <c r="AF6" s="292">
        <v>1364000</v>
      </c>
      <c r="AG6" s="292">
        <v>1424000</v>
      </c>
      <c r="AH6" s="292">
        <v>1651000</v>
      </c>
      <c r="AI6" s="292">
        <v>2286000</v>
      </c>
      <c r="AJ6" s="292">
        <v>1734000</v>
      </c>
      <c r="AK6" s="293">
        <v>21528000</v>
      </c>
      <c r="AL6" s="292">
        <f t="shared" si="24"/>
        <v>11808000</v>
      </c>
      <c r="AM6" s="293">
        <f t="shared" si="25"/>
        <v>9720000</v>
      </c>
      <c r="AN6" s="292">
        <f t="shared" si="26"/>
        <v>5615000</v>
      </c>
      <c r="AO6" s="292">
        <f t="shared" si="27"/>
        <v>6193000</v>
      </c>
      <c r="AP6" s="292">
        <f t="shared" si="28"/>
        <v>4049000</v>
      </c>
      <c r="AQ6" s="293">
        <f t="shared" si="29"/>
        <v>5671000</v>
      </c>
      <c r="AR6" s="70">
        <f t="shared" si="30"/>
        <v>19794000</v>
      </c>
      <c r="AS6" s="6">
        <v>1.1200000000000001</v>
      </c>
      <c r="AT6" s="294" t="s">
        <v>274</v>
      </c>
      <c r="AU6" s="311">
        <f t="shared" si="31"/>
        <v>0.20367129371040113</v>
      </c>
      <c r="AV6" s="311">
        <f t="shared" si="0"/>
        <v>0.22317423148314725</v>
      </c>
      <c r="AW6" s="311">
        <f t="shared" si="1"/>
        <v>0.22893605543674606</v>
      </c>
      <c r="AX6" s="311">
        <f t="shared" si="2"/>
        <v>0.25723167065621688</v>
      </c>
      <c r="AY6" s="312">
        <f t="shared" si="3"/>
        <v>0.24170226384688245</v>
      </c>
      <c r="AZ6" s="312">
        <f t="shared" si="4"/>
        <v>0.26528417982105407</v>
      </c>
      <c r="BA6" s="312">
        <f t="shared" si="5"/>
        <v>0.26940070194617027</v>
      </c>
      <c r="BB6" s="312">
        <f t="shared" si="6"/>
        <v>0.27584255560943682</v>
      </c>
      <c r="BC6" s="312">
        <f t="shared" si="7"/>
        <v>0.19897983740212105</v>
      </c>
      <c r="BD6" s="312">
        <f t="shared" si="8"/>
        <v>0.16979429175788432</v>
      </c>
      <c r="BE6" s="312">
        <f t="shared" si="9"/>
        <v>0.23346443632722244</v>
      </c>
      <c r="BF6" s="312">
        <f t="shared" si="10"/>
        <v>0.20145391049518241</v>
      </c>
      <c r="BG6" s="313">
        <f t="shared" si="11"/>
        <v>0.22670370259827805</v>
      </c>
      <c r="BH6" s="312">
        <f t="shared" si="12"/>
        <v>0.23589466016788666</v>
      </c>
      <c r="BI6" s="313">
        <f t="shared" si="13"/>
        <v>0.21645834628720637</v>
      </c>
      <c r="BJ6" s="312">
        <f t="shared" si="14"/>
        <v>0.21723885959634878</v>
      </c>
      <c r="BK6" s="312">
        <f t="shared" si="15"/>
        <v>0.25581272794351267</v>
      </c>
      <c r="BL6" s="312">
        <f t="shared" si="16"/>
        <v>0.24126877476619055</v>
      </c>
      <c r="BM6" s="313">
        <f t="shared" si="17"/>
        <v>0.20165276520202946</v>
      </c>
    </row>
    <row r="7" spans="2:65" x14ac:dyDescent="0.2">
      <c r="B7" s="280" t="s">
        <v>285</v>
      </c>
      <c r="C7" s="281">
        <v>4603617.4387213793</v>
      </c>
      <c r="D7" s="281">
        <v>3821384.7460851017</v>
      </c>
      <c r="E7" s="281">
        <v>5065831.4127741819</v>
      </c>
      <c r="F7" s="281">
        <v>5880973.6684541721</v>
      </c>
      <c r="G7" s="286">
        <v>5667562.2115185326</v>
      </c>
      <c r="H7" s="286">
        <v>5755848.0589104071</v>
      </c>
      <c r="I7" s="286">
        <v>5519698.7265944444</v>
      </c>
      <c r="J7" s="286">
        <v>5984947.8964848667</v>
      </c>
      <c r="K7" s="286">
        <v>6269763.1405419223</v>
      </c>
      <c r="L7" s="286">
        <v>6526689.4301311318</v>
      </c>
      <c r="M7" s="286">
        <v>7255416.737489976</v>
      </c>
      <c r="N7" s="286">
        <v>7648266.5322938766</v>
      </c>
      <c r="O7" s="282">
        <v>70000000</v>
      </c>
      <c r="P7" s="286">
        <f t="shared" si="18"/>
        <v>30795217.536463775</v>
      </c>
      <c r="Q7" s="282">
        <f t="shared" si="19"/>
        <v>39204782.463536218</v>
      </c>
      <c r="R7" s="286">
        <f t="shared" si="20"/>
        <v>13490833.597580664</v>
      </c>
      <c r="S7" s="286">
        <f t="shared" si="21"/>
        <v>17304383.938883111</v>
      </c>
      <c r="T7" s="286">
        <f t="shared" si="22"/>
        <v>17774409.763621233</v>
      </c>
      <c r="U7" s="282">
        <f t="shared" si="23"/>
        <v>21430372.699914984</v>
      </c>
      <c r="X7" s="280" t="s">
        <v>285</v>
      </c>
      <c r="Y7" s="281">
        <v>499464.2857142858</v>
      </c>
      <c r="Z7" s="281">
        <v>417339.33892266598</v>
      </c>
      <c r="AA7" s="281">
        <v>582576.06687779876</v>
      </c>
      <c r="AB7" s="281">
        <v>652324.82994892285</v>
      </c>
      <c r="AC7" s="286">
        <v>660892.47711345076</v>
      </c>
      <c r="AD7" s="286">
        <v>628355.38237525779</v>
      </c>
      <c r="AE7" s="286">
        <v>649909.80498630193</v>
      </c>
      <c r="AF7" s="286">
        <v>706821.42857142887</v>
      </c>
      <c r="AG7" s="286">
        <v>745140.66748655145</v>
      </c>
      <c r="AH7" s="286">
        <v>766510.7150619321</v>
      </c>
      <c r="AI7" s="286">
        <v>813263.9495348169</v>
      </c>
      <c r="AJ7" s="286">
        <v>867401.05340658617</v>
      </c>
      <c r="AK7" s="282">
        <v>7990000</v>
      </c>
      <c r="AL7" s="286">
        <f t="shared" si="24"/>
        <v>3440952.3809523825</v>
      </c>
      <c r="AM7" s="282">
        <f t="shared" si="25"/>
        <v>4549047.6190476166</v>
      </c>
      <c r="AN7" s="286">
        <f t="shared" si="26"/>
        <v>1499379.6915147505</v>
      </c>
      <c r="AO7" s="286">
        <f t="shared" si="27"/>
        <v>1941572.6894376313</v>
      </c>
      <c r="AP7" s="286">
        <f t="shared" si="28"/>
        <v>2101871.9010442821</v>
      </c>
      <c r="AQ7" s="282">
        <f t="shared" si="29"/>
        <v>2447175.7180033354</v>
      </c>
      <c r="AR7" s="70">
        <f t="shared" si="30"/>
        <v>7122598.9465934131</v>
      </c>
      <c r="AS7" s="6">
        <v>1.1200000000000001</v>
      </c>
      <c r="AT7" s="280" t="s">
        <v>285</v>
      </c>
      <c r="AU7" s="314">
        <f t="shared" si="31"/>
        <v>0.12151313775441978</v>
      </c>
      <c r="AV7" s="314">
        <f t="shared" si="0"/>
        <v>0.12231693238223246</v>
      </c>
      <c r="AW7" s="314">
        <f t="shared" si="1"/>
        <v>0.12880120591020947</v>
      </c>
      <c r="AX7" s="314">
        <f t="shared" si="2"/>
        <v>0.1242317770374977</v>
      </c>
      <c r="AY7" s="315">
        <f t="shared" si="3"/>
        <v>0.13060281418044464</v>
      </c>
      <c r="AZ7" s="315">
        <f t="shared" si="4"/>
        <v>0.12226834708932735</v>
      </c>
      <c r="BA7" s="315">
        <f t="shared" si="5"/>
        <v>0.13187295496356899</v>
      </c>
      <c r="BB7" s="315">
        <f t="shared" si="6"/>
        <v>0.13227182820838818</v>
      </c>
      <c r="BC7" s="315">
        <f t="shared" si="7"/>
        <v>0.13310830550973626</v>
      </c>
      <c r="BD7" s="315">
        <f t="shared" si="8"/>
        <v>0.131535598569475</v>
      </c>
      <c r="BE7" s="315">
        <f t="shared" si="9"/>
        <v>0.12554146183946246</v>
      </c>
      <c r="BF7" s="315">
        <f t="shared" si="10"/>
        <v>0.12702083219947705</v>
      </c>
      <c r="BG7" s="295">
        <f t="shared" si="11"/>
        <v>0.12784000000000001</v>
      </c>
      <c r="BH7" s="315">
        <f t="shared" si="12"/>
        <v>0.12514497298495816</v>
      </c>
      <c r="BI7" s="295">
        <f t="shared" si="13"/>
        <v>0.12995693415904175</v>
      </c>
      <c r="BJ7" s="315">
        <f t="shared" si="14"/>
        <v>0.1244775011380819</v>
      </c>
      <c r="BK7" s="315">
        <f t="shared" si="15"/>
        <v>0.12566534699243972</v>
      </c>
      <c r="BL7" s="315">
        <f t="shared" si="16"/>
        <v>0.13244302120162155</v>
      </c>
      <c r="BM7" s="295">
        <f t="shared" si="17"/>
        <v>0.12789496676250567</v>
      </c>
    </row>
    <row r="8" spans="2:65" x14ac:dyDescent="0.2">
      <c r="B8" s="301" t="s">
        <v>286</v>
      </c>
      <c r="C8" s="302">
        <v>3353617.4387213788</v>
      </c>
      <c r="D8" s="303">
        <v>2704238.5566656576</v>
      </c>
      <c r="E8" s="303">
        <v>3149164.746107514</v>
      </c>
      <c r="F8" s="303">
        <v>3528754.2915869048</v>
      </c>
      <c r="G8" s="303">
        <v>3148676.1679845992</v>
      </c>
      <c r="H8" s="303">
        <v>3244099.668731044</v>
      </c>
      <c r="I8" s="303">
        <v>2936365.3932611095</v>
      </c>
      <c r="J8" s="303">
        <v>3234947.8964848639</v>
      </c>
      <c r="K8" s="303">
        <v>3353096.473875253</v>
      </c>
      <c r="L8" s="303">
        <v>3443356.0967978053</v>
      </c>
      <c r="M8" s="303">
        <v>4005416.7374899825</v>
      </c>
      <c r="N8" s="303">
        <v>3898266.5322938832</v>
      </c>
      <c r="O8" s="304">
        <v>40000000</v>
      </c>
      <c r="P8" s="303">
        <f t="shared" si="18"/>
        <v>19128550.869797099</v>
      </c>
      <c r="Q8" s="304">
        <f t="shared" si="19"/>
        <v>20871449.130202897</v>
      </c>
      <c r="R8" s="303">
        <f t="shared" si="20"/>
        <v>9207020.7414945513</v>
      </c>
      <c r="S8" s="303">
        <f t="shared" si="21"/>
        <v>9921530.1283025481</v>
      </c>
      <c r="T8" s="303">
        <f t="shared" si="22"/>
        <v>9524409.763621226</v>
      </c>
      <c r="U8" s="304">
        <f t="shared" si="23"/>
        <v>11347039.366581671</v>
      </c>
      <c r="X8" s="301" t="s">
        <v>287</v>
      </c>
      <c r="Y8" s="302">
        <v>360000</v>
      </c>
      <c r="Z8" s="303">
        <v>292697.74264601083</v>
      </c>
      <c r="AA8" s="303">
        <v>368730.82878256054</v>
      </c>
      <c r="AB8" s="303">
        <v>389884.35375844646</v>
      </c>
      <c r="AC8" s="303">
        <v>379856.76282773627</v>
      </c>
      <c r="AD8" s="303">
        <v>348116.02627096022</v>
      </c>
      <c r="AE8" s="303">
        <v>361683.61451011122</v>
      </c>
      <c r="AF8" s="303">
        <v>400000</v>
      </c>
      <c r="AG8" s="303">
        <v>419724.00081988447</v>
      </c>
      <c r="AH8" s="303">
        <v>422498.81030002813</v>
      </c>
      <c r="AI8" s="303">
        <v>450656.80667767487</v>
      </c>
      <c r="AJ8" s="303">
        <v>449008.19626372971</v>
      </c>
      <c r="AK8" s="304">
        <v>4642857.1428571427</v>
      </c>
      <c r="AL8" s="303">
        <f t="shared" si="24"/>
        <v>2139285.7142857146</v>
      </c>
      <c r="AM8" s="304">
        <f t="shared" si="25"/>
        <v>2503571.4285714286</v>
      </c>
      <c r="AN8" s="303">
        <f t="shared" si="26"/>
        <v>1021428.5714285714</v>
      </c>
      <c r="AO8" s="303">
        <f t="shared" si="27"/>
        <v>1117857.142857143</v>
      </c>
      <c r="AP8" s="303">
        <f t="shared" si="28"/>
        <v>1181407.6153299958</v>
      </c>
      <c r="AQ8" s="304">
        <f t="shared" si="29"/>
        <v>1322163.8132414329</v>
      </c>
      <c r="AR8" s="70">
        <f t="shared" si="30"/>
        <v>4193848.9465934131</v>
      </c>
      <c r="AS8" s="6">
        <v>1.1200000000000001</v>
      </c>
      <c r="AT8" s="301" t="s">
        <v>287</v>
      </c>
      <c r="AU8" s="316">
        <f t="shared" si="31"/>
        <v>0.12022838244594966</v>
      </c>
      <c r="AV8" s="317">
        <f t="shared" si="0"/>
        <v>0.12122505647864809</v>
      </c>
      <c r="AW8" s="317">
        <f t="shared" si="1"/>
        <v>0.13113906750890847</v>
      </c>
      <c r="AX8" s="317">
        <f t="shared" si="2"/>
        <v>0.12374635356464175</v>
      </c>
      <c r="AY8" s="317">
        <f t="shared" si="3"/>
        <v>0.13511696715365284</v>
      </c>
      <c r="AZ8" s="317">
        <f t="shared" si="4"/>
        <v>0.12018433132049365</v>
      </c>
      <c r="BA8" s="317">
        <f t="shared" si="5"/>
        <v>0.13795478218786625</v>
      </c>
      <c r="BB8" s="317">
        <f t="shared" si="6"/>
        <v>0.13848754735332913</v>
      </c>
      <c r="BC8" s="317">
        <f t="shared" si="7"/>
        <v>0.14019605000358834</v>
      </c>
      <c r="BD8" s="317">
        <f t="shared" si="8"/>
        <v>0.13742368033793803</v>
      </c>
      <c r="BE8" s="317">
        <f t="shared" si="9"/>
        <v>0.126013260681407</v>
      </c>
      <c r="BF8" s="317">
        <f t="shared" si="10"/>
        <v>0.12900328277950221</v>
      </c>
      <c r="BG8" s="318">
        <f t="shared" si="11"/>
        <v>0.13</v>
      </c>
      <c r="BH8" s="317">
        <f t="shared" si="12"/>
        <v>0.12525778958944292</v>
      </c>
      <c r="BI8" s="318">
        <f t="shared" si="13"/>
        <v>0.1343462057908742</v>
      </c>
      <c r="BJ8" s="317">
        <f t="shared" si="14"/>
        <v>0.12425300562691005</v>
      </c>
      <c r="BK8" s="317">
        <f t="shared" si="15"/>
        <v>0.12619021298221891</v>
      </c>
      <c r="BL8" s="317">
        <f t="shared" si="16"/>
        <v>0.13892477980352216</v>
      </c>
      <c r="BM8" s="318">
        <f t="shared" si="17"/>
        <v>0.13050306983084939</v>
      </c>
    </row>
    <row r="9" spans="2:65" x14ac:dyDescent="0.2">
      <c r="X9" s="6" t="s">
        <v>282</v>
      </c>
      <c r="Y9" s="70">
        <f>Y4-Y5</f>
        <v>3609372.8038250878</v>
      </c>
      <c r="Z9" s="70">
        <f t="shared" ref="Z9:AQ9" si="32">Z4-Z5</f>
        <v>2305405.0551724136</v>
      </c>
      <c r="AA9" s="70">
        <f t="shared" si="32"/>
        <v>2531623.6098194234</v>
      </c>
      <c r="AB9" s="70">
        <f t="shared" si="32"/>
        <v>2577483.6624143384</v>
      </c>
      <c r="AC9" s="70">
        <f t="shared" si="32"/>
        <v>2352065.7671297342</v>
      </c>
      <c r="AD9" s="70">
        <f t="shared" si="32"/>
        <v>2346425.0126851499</v>
      </c>
      <c r="AE9" s="70">
        <f t="shared" si="32"/>
        <v>2260979.280829154</v>
      </c>
      <c r="AF9" s="70">
        <f t="shared" si="32"/>
        <v>2327188.9882676303</v>
      </c>
      <c r="AG9" s="70">
        <f t="shared" si="32"/>
        <v>2320475.5242366679</v>
      </c>
      <c r="AH9" s="70">
        <f t="shared" si="32"/>
        <v>2370458.7974397577</v>
      </c>
      <c r="AI9" s="70">
        <f t="shared" si="32"/>
        <v>2910393.9690393023</v>
      </c>
      <c r="AJ9" s="70">
        <f t="shared" si="32"/>
        <v>2954783.4472540803</v>
      </c>
      <c r="AK9" s="70">
        <f t="shared" si="32"/>
        <v>30866655.918112755</v>
      </c>
      <c r="AL9" s="70">
        <f t="shared" si="32"/>
        <v>15722375.911046147</v>
      </c>
      <c r="AM9" s="70">
        <f t="shared" si="32"/>
        <v>15144280.007066607</v>
      </c>
      <c r="AN9" s="70">
        <f t="shared" si="32"/>
        <v>8446401.4688169211</v>
      </c>
      <c r="AO9" s="70">
        <f t="shared" si="32"/>
        <v>7275974.4422292113</v>
      </c>
      <c r="AP9" s="70">
        <f t="shared" si="32"/>
        <v>6908643.7933334559</v>
      </c>
      <c r="AQ9" s="70">
        <f t="shared" si="32"/>
        <v>8235636.2137331441</v>
      </c>
      <c r="AR9" s="70">
        <f t="shared" si="30"/>
        <v>27911872.47085866</v>
      </c>
    </row>
    <row r="10" spans="2:65" x14ac:dyDescent="0.2">
      <c r="X10" s="6" t="s">
        <v>297</v>
      </c>
      <c r="Y10" s="70">
        <v>16000000</v>
      </c>
      <c r="Z10" s="70">
        <v>16000000</v>
      </c>
      <c r="AA10" s="70">
        <v>18000000</v>
      </c>
      <c r="AB10" s="70">
        <v>22000000</v>
      </c>
      <c r="AC10" s="70">
        <v>28000000</v>
      </c>
      <c r="AD10" s="70">
        <v>32000000</v>
      </c>
      <c r="AE10" s="70">
        <v>33000000</v>
      </c>
      <c r="AF10" s="70">
        <v>35000000</v>
      </c>
      <c r="AG10" s="70">
        <v>40000000</v>
      </c>
      <c r="AH10" s="70">
        <v>36000000</v>
      </c>
      <c r="AI10" s="70">
        <v>74000000</v>
      </c>
      <c r="AJ10" s="70">
        <v>50000000</v>
      </c>
      <c r="AK10" s="70">
        <f>SUM(Y10:AJ10)</f>
        <v>400000000</v>
      </c>
      <c r="AL10" s="6"/>
      <c r="AM10" s="6"/>
      <c r="AN10" s="6"/>
      <c r="AO10" s="6"/>
      <c r="AP10" s="6"/>
      <c r="AQ10" s="6"/>
    </row>
    <row r="11" spans="2:65" x14ac:dyDescent="0.2">
      <c r="B11" s="319" t="s">
        <v>289</v>
      </c>
      <c r="X11" s="319" t="s">
        <v>289</v>
      </c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T11" s="319" t="s">
        <v>289</v>
      </c>
    </row>
    <row r="12" spans="2:65" x14ac:dyDescent="0.2">
      <c r="B12" s="90" t="s">
        <v>276</v>
      </c>
      <c r="C12" s="91" t="s">
        <v>92</v>
      </c>
      <c r="D12" s="91" t="s">
        <v>93</v>
      </c>
      <c r="E12" s="91" t="s">
        <v>61</v>
      </c>
      <c r="F12" s="91" t="s">
        <v>62</v>
      </c>
      <c r="G12" s="91" t="s">
        <v>63</v>
      </c>
      <c r="H12" s="91" t="s">
        <v>64</v>
      </c>
      <c r="I12" s="91" t="s">
        <v>65</v>
      </c>
      <c r="J12" s="91" t="s">
        <v>66</v>
      </c>
      <c r="K12" s="91" t="s">
        <v>67</v>
      </c>
      <c r="L12" s="91" t="s">
        <v>68</v>
      </c>
      <c r="M12" s="91" t="s">
        <v>69</v>
      </c>
      <c r="N12" s="91" t="s">
        <v>94</v>
      </c>
      <c r="O12" s="92" t="s">
        <v>277</v>
      </c>
      <c r="P12" s="285" t="s">
        <v>278</v>
      </c>
      <c r="Q12" s="92" t="s">
        <v>279</v>
      </c>
      <c r="R12" s="91" t="s">
        <v>280</v>
      </c>
      <c r="S12" s="91" t="s">
        <v>126</v>
      </c>
      <c r="T12" s="91" t="s">
        <v>281</v>
      </c>
      <c r="U12" s="92" t="s">
        <v>150</v>
      </c>
      <c r="X12" s="90" t="s">
        <v>4</v>
      </c>
      <c r="Y12" s="91" t="s">
        <v>92</v>
      </c>
      <c r="Z12" s="91" t="s">
        <v>93</v>
      </c>
      <c r="AA12" s="91" t="s">
        <v>61</v>
      </c>
      <c r="AB12" s="91" t="s">
        <v>62</v>
      </c>
      <c r="AC12" s="91" t="s">
        <v>63</v>
      </c>
      <c r="AD12" s="91" t="s">
        <v>64</v>
      </c>
      <c r="AE12" s="91" t="s">
        <v>65</v>
      </c>
      <c r="AF12" s="91" t="s">
        <v>66</v>
      </c>
      <c r="AG12" s="91" t="s">
        <v>67</v>
      </c>
      <c r="AH12" s="91" t="s">
        <v>68</v>
      </c>
      <c r="AI12" s="91" t="s">
        <v>69</v>
      </c>
      <c r="AJ12" s="91" t="s">
        <v>94</v>
      </c>
      <c r="AK12" s="92" t="s">
        <v>277</v>
      </c>
      <c r="AL12" s="285" t="s">
        <v>278</v>
      </c>
      <c r="AM12" s="92" t="s">
        <v>279</v>
      </c>
      <c r="AN12" s="285" t="s">
        <v>280</v>
      </c>
      <c r="AO12" s="91" t="s">
        <v>126</v>
      </c>
      <c r="AP12" s="91" t="s">
        <v>281</v>
      </c>
      <c r="AQ12" s="287" t="s">
        <v>150</v>
      </c>
      <c r="AR12" s="6" t="s">
        <v>294</v>
      </c>
      <c r="AS12" s="6" t="s">
        <v>288</v>
      </c>
      <c r="AT12" s="90" t="s">
        <v>275</v>
      </c>
      <c r="AU12" s="91" t="s">
        <v>92</v>
      </c>
      <c r="AV12" s="91" t="s">
        <v>93</v>
      </c>
      <c r="AW12" s="91" t="s">
        <v>61</v>
      </c>
      <c r="AX12" s="91" t="s">
        <v>62</v>
      </c>
      <c r="AY12" s="91" t="s">
        <v>63</v>
      </c>
      <c r="AZ12" s="91" t="s">
        <v>64</v>
      </c>
      <c r="BA12" s="91" t="s">
        <v>65</v>
      </c>
      <c r="BB12" s="91" t="s">
        <v>66</v>
      </c>
      <c r="BC12" s="91" t="s">
        <v>67</v>
      </c>
      <c r="BD12" s="91" t="s">
        <v>68</v>
      </c>
      <c r="BE12" s="91" t="s">
        <v>69</v>
      </c>
      <c r="BF12" s="91" t="s">
        <v>94</v>
      </c>
      <c r="BG12" s="92" t="s">
        <v>277</v>
      </c>
      <c r="BH12" s="285" t="s">
        <v>278</v>
      </c>
      <c r="BI12" s="92" t="s">
        <v>279</v>
      </c>
      <c r="BJ12" s="285" t="s">
        <v>280</v>
      </c>
      <c r="BK12" s="91" t="s">
        <v>126</v>
      </c>
      <c r="BL12" s="91" t="s">
        <v>281</v>
      </c>
      <c r="BM12" s="287" t="s">
        <v>150</v>
      </c>
    </row>
    <row r="13" spans="2:65" x14ac:dyDescent="0.2">
      <c r="B13" s="166" t="s">
        <v>7</v>
      </c>
      <c r="C13" s="167">
        <f>C14+C18</f>
        <v>110222402.18999992</v>
      </c>
      <c r="D13" s="167">
        <f t="shared" ref="D13:N13" si="33">D14+D18</f>
        <v>83609413.390000388</v>
      </c>
      <c r="E13" s="167">
        <f t="shared" si="33"/>
        <v>86799136.91000025</v>
      </c>
      <c r="F13" s="167">
        <f t="shared" si="33"/>
        <v>86919720.890000284</v>
      </c>
      <c r="G13" s="167">
        <f t="shared" si="33"/>
        <v>85535277.200000405</v>
      </c>
      <c r="H13" s="167">
        <f t="shared" si="33"/>
        <v>80433400.560000464</v>
      </c>
      <c r="I13" s="167">
        <f t="shared" si="33"/>
        <v>82719753.860000387</v>
      </c>
      <c r="J13" s="167">
        <f t="shared" si="33"/>
        <v>76924778.290000454</v>
      </c>
      <c r="K13" s="167">
        <f t="shared" si="33"/>
        <v>85138540.930000454</v>
      </c>
      <c r="L13" s="167">
        <f t="shared" si="33"/>
        <v>92473955.380000398</v>
      </c>
      <c r="M13" s="167">
        <f t="shared" si="33"/>
        <v>91109594.450000316</v>
      </c>
      <c r="N13" s="167">
        <f t="shared" si="33"/>
        <v>0</v>
      </c>
      <c r="O13" s="168">
        <f>SUM(C13:N13)</f>
        <v>961885974.05000365</v>
      </c>
      <c r="P13" s="167">
        <f>SUM(C13:H13)</f>
        <v>533519351.14000171</v>
      </c>
      <c r="Q13" s="168">
        <f>SUM(I13:N13)</f>
        <v>428366622.91000199</v>
      </c>
      <c r="R13" s="167">
        <f>SUM(C13:E13)</f>
        <v>280630952.49000055</v>
      </c>
      <c r="S13" s="167">
        <f>SUM(F13:H13)</f>
        <v>252888398.65000117</v>
      </c>
      <c r="T13" s="167">
        <f>SUM(I13:K13)</f>
        <v>244783073.08000129</v>
      </c>
      <c r="U13" s="168">
        <f>SUM(L13:N13)</f>
        <v>183583549.8300007</v>
      </c>
      <c r="X13" s="166" t="s">
        <v>7</v>
      </c>
      <c r="Y13" s="167">
        <f>Y14+Y18</f>
        <v>26183689.379999995</v>
      </c>
      <c r="Z13" s="167">
        <f t="shared" ref="Z13" si="34">Z14+Z18</f>
        <v>18907275.77</v>
      </c>
      <c r="AA13" s="167">
        <f t="shared" ref="AA13" si="35">AA14+AA18</f>
        <v>21181039.092830185</v>
      </c>
      <c r="AB13" s="167">
        <f t="shared" ref="AB13" si="36">AB14+AB18</f>
        <v>20419942.996792451</v>
      </c>
      <c r="AC13" s="167">
        <f>AC14+AC18</f>
        <v>19028404.050566036</v>
      </c>
      <c r="AD13" s="167">
        <f>AD14+AD18</f>
        <v>19346421.219245281</v>
      </c>
      <c r="AE13" s="167">
        <f t="shared" ref="AE13" si="37">AE14+AE18</f>
        <v>18855792.086226411</v>
      </c>
      <c r="AF13" s="167">
        <f t="shared" ref="AF13" si="38">AF14+AF18</f>
        <v>17898504.081320755</v>
      </c>
      <c r="AG13" s="167">
        <f t="shared" ref="AG13" si="39">AG14+AG18</f>
        <v>18162052.84566037</v>
      </c>
      <c r="AH13" s="167">
        <f t="shared" ref="AH13" si="40">AH14+AH18</f>
        <v>17715842.924528297</v>
      </c>
      <c r="AI13" s="167">
        <f t="shared" ref="AI13" si="41">AI14+AI18</f>
        <v>21844195.981132105</v>
      </c>
      <c r="AJ13" s="167">
        <f t="shared" ref="AJ13" si="42">AJ14+AJ18</f>
        <v>0</v>
      </c>
      <c r="AK13" s="168">
        <f>SUM(Y13:AJ13)</f>
        <v>219543160.42830187</v>
      </c>
      <c r="AL13" s="167">
        <f>SUM(Y13:AD13)</f>
        <v>125066772.50943394</v>
      </c>
      <c r="AM13" s="168">
        <f>SUM(AE13:AJ13)</f>
        <v>94476387.918867946</v>
      </c>
      <c r="AN13" s="167">
        <f>SUM(Y13:AA13)</f>
        <v>66272004.242830172</v>
      </c>
      <c r="AO13" s="167">
        <f>SUM(AB13:AD13)</f>
        <v>58794768.266603768</v>
      </c>
      <c r="AP13" s="167">
        <f>SUM(AE13:AG13)</f>
        <v>54916349.01320754</v>
      </c>
      <c r="AQ13" s="168">
        <f>SUM(AH13:AJ13)</f>
        <v>39560038.905660406</v>
      </c>
      <c r="AR13" s="7">
        <f t="shared" ref="AR13:AR19" si="43">IF(AK13-AR3&lt;0,AK13-AR3,0)</f>
        <v>-7566886.5371963978</v>
      </c>
      <c r="AS13" s="6">
        <v>1.1200000000000001</v>
      </c>
      <c r="AT13" s="166" t="s">
        <v>7</v>
      </c>
      <c r="AU13" s="283">
        <f>IFERROR(Y13*1.12/C13,"")</f>
        <v>0.26605963509168207</v>
      </c>
      <c r="AV13" s="283">
        <f t="shared" ref="AV13:AV18" si="44">IFERROR(Z13*1.12/D13,"")</f>
        <v>0.25327469723561835</v>
      </c>
      <c r="AW13" s="283">
        <f t="shared" ref="AW13:AW18" si="45">IFERROR(AA13*1.12/E13,"")</f>
        <v>0.27330644783446778</v>
      </c>
      <c r="AX13" s="283">
        <f t="shared" ref="AX13:AX18" si="46">IFERROR(AB13*1.12/F13,"")</f>
        <v>0.26312022084551673</v>
      </c>
      <c r="AY13" s="283">
        <f t="shared" ref="AY13:AY18" si="47">IFERROR(AC13*1.12/G13,"")</f>
        <v>0.24915816297411683</v>
      </c>
      <c r="AZ13" s="283">
        <f t="shared" ref="AZ13:AZ18" si="48">IFERROR(AD13*1.12/H13,"")</f>
        <v>0.26939047230001378</v>
      </c>
      <c r="BA13" s="283">
        <f t="shared" ref="BA13:BA18" si="49">IFERROR(AE13*1.12/I13,"")</f>
        <v>0.25530161963871062</v>
      </c>
      <c r="BB13" s="283">
        <f t="shared" ref="BB13:BB18" si="50">IFERROR(AF13*1.12/J13,"")</f>
        <v>0.26059645561156064</v>
      </c>
      <c r="BC13" s="283">
        <f t="shared" ref="BC13:BC18" si="51">IFERROR(AG13*1.12/K13,"")</f>
        <v>0.23892233722755563</v>
      </c>
      <c r="BD13" s="283">
        <f t="shared" ref="BD13:BD18" si="52">IFERROR(AH13*1.12/L13,"")</f>
        <v>0.21456575523277471</v>
      </c>
      <c r="BE13" s="283">
        <f t="shared" ref="BE13:BE18" si="53">IFERROR(AI13*1.12/M13,"")</f>
        <v>0.26852824498405914</v>
      </c>
      <c r="BF13" s="283" t="str">
        <f t="shared" ref="BF13:BF18" si="54">IFERROR(AJ13*1.12/N13,"")</f>
        <v/>
      </c>
      <c r="BG13" s="284">
        <f t="shared" ref="BG13:BG18" si="55">IFERROR(AK13*1.12/O13,"")</f>
        <v>0.25563148472202962</v>
      </c>
      <c r="BH13" s="283">
        <f t="shared" ref="BH13:BH18" si="56">IFERROR(AL13*1.12/P13,"")</f>
        <v>0.2625486496623976</v>
      </c>
      <c r="BI13" s="284">
        <f t="shared" ref="BI13:BI18" si="57">IFERROR(AM13*1.12/Q13,"")</f>
        <v>0.24701633789839664</v>
      </c>
      <c r="BJ13" s="283">
        <f t="shared" ref="BJ13:BJ18" si="58">IFERROR(AN13*1.12/R13,"")</f>
        <v>0.26449201021264601</v>
      </c>
      <c r="BK13" s="283">
        <f t="shared" ref="BK13:BK18" si="59">IFERROR(AO13*1.12/S13,"")</f>
        <v>0.26039209710736144</v>
      </c>
      <c r="BL13" s="283">
        <f t="shared" ref="BL13:BL18" si="60">IFERROR(AP13*1.12/T13,"")</f>
        <v>0.2512686441953878</v>
      </c>
      <c r="BM13" s="284">
        <f t="shared" ref="BM13:BM18" si="61">IFERROR(AQ13*1.12/U13,"")</f>
        <v>0.24134648020134913</v>
      </c>
    </row>
    <row r="14" spans="2:65" ht="30" x14ac:dyDescent="0.2">
      <c r="B14" s="296" t="s">
        <v>283</v>
      </c>
      <c r="C14" s="297">
        <v>107813292.90000001</v>
      </c>
      <c r="D14" s="297">
        <v>81747623</v>
      </c>
      <c r="E14" s="297">
        <v>84492124</v>
      </c>
      <c r="F14" s="297">
        <v>84646543</v>
      </c>
      <c r="G14" s="298">
        <v>83475150</v>
      </c>
      <c r="H14" s="298">
        <v>78490927</v>
      </c>
      <c r="I14" s="298">
        <v>80703402</v>
      </c>
      <c r="J14" s="298">
        <v>74913585</v>
      </c>
      <c r="K14" s="298">
        <v>83150977</v>
      </c>
      <c r="L14" s="298">
        <v>90542776</v>
      </c>
      <c r="M14" s="298">
        <v>88943142</v>
      </c>
      <c r="N14" s="298"/>
      <c r="O14" s="299">
        <f t="shared" ref="O14:O18" si="62">SUM(C14:N14)</f>
        <v>938919541.89999998</v>
      </c>
      <c r="P14" s="298">
        <f t="shared" ref="P14:P18" si="63">SUM(C14:H14)</f>
        <v>520665659.89999998</v>
      </c>
      <c r="Q14" s="299">
        <f t="shared" ref="Q14:Q18" si="64">SUM(I14:N14)</f>
        <v>418253882</v>
      </c>
      <c r="R14" s="298">
        <f t="shared" ref="R14:R18" si="65">SUM(C14:E14)</f>
        <v>274053039.89999998</v>
      </c>
      <c r="S14" s="298">
        <f t="shared" ref="S14:S18" si="66">SUM(F14:H14)</f>
        <v>246612620</v>
      </c>
      <c r="T14" s="298">
        <f t="shared" ref="T14:T18" si="67">SUM(I14:K14)</f>
        <v>238767964</v>
      </c>
      <c r="U14" s="299">
        <f t="shared" ref="U14:U18" si="68">SUM(L14:N14)</f>
        <v>179485918</v>
      </c>
      <c r="X14" s="296" t="s">
        <v>283</v>
      </c>
      <c r="Y14" s="297">
        <v>25910623.999999996</v>
      </c>
      <c r="Z14" s="297">
        <v>18677402</v>
      </c>
      <c r="AA14" s="297">
        <v>20898078.452830188</v>
      </c>
      <c r="AB14" s="297">
        <v>20177138.886792451</v>
      </c>
      <c r="AC14" s="298">
        <v>18790332.490566038</v>
      </c>
      <c r="AD14" s="298">
        <v>19119338.679245282</v>
      </c>
      <c r="AE14" s="298">
        <v>18619342.396226414</v>
      </c>
      <c r="AF14" s="298">
        <v>17665711.561320756</v>
      </c>
      <c r="AG14" s="298">
        <v>17937356.905660376</v>
      </c>
      <c r="AH14" s="298">
        <v>17492226.924528301</v>
      </c>
      <c r="AI14" s="298">
        <v>21609474.481132101</v>
      </c>
      <c r="AJ14" s="298"/>
      <c r="AK14" s="299">
        <f t="shared" ref="AK14:AK18" si="69">SUM(Y14:AJ14)</f>
        <v>216897026.77830189</v>
      </c>
      <c r="AL14" s="298">
        <f t="shared" ref="AL14:AL18" si="70">SUM(Y14:AD14)</f>
        <v>123572914.50943397</v>
      </c>
      <c r="AM14" s="299">
        <f t="shared" ref="AM14:AM18" si="71">SUM(AE14:AJ14)</f>
        <v>93324112.268867955</v>
      </c>
      <c r="AN14" s="298">
        <f t="shared" ref="AN14:AN18" si="72">SUM(Y14:AA14)</f>
        <v>65486104.452830188</v>
      </c>
      <c r="AO14" s="298">
        <f t="shared" ref="AO14:AO18" si="73">SUM(AB14:AD14)</f>
        <v>58086810.056603774</v>
      </c>
      <c r="AP14" s="298">
        <f t="shared" ref="AP14:AP18" si="74">SUM(AE14:AG14)</f>
        <v>54222410.863207549</v>
      </c>
      <c r="AQ14" s="299">
        <f t="shared" ref="AQ14:AQ18" si="75">SUM(AH14:AJ14)</f>
        <v>39101701.405660406</v>
      </c>
      <c r="AR14" s="7">
        <f t="shared" si="43"/>
        <v>-6019171.2406029403</v>
      </c>
      <c r="AS14" s="6">
        <v>1.1200000000000001</v>
      </c>
      <c r="AT14" s="296" t="s">
        <v>283</v>
      </c>
      <c r="AU14" s="305">
        <f t="shared" ref="AU14:AU18" si="76">IFERROR(Y14*1.12/C14,"")</f>
        <v>0.26916809698890104</v>
      </c>
      <c r="AV14" s="305">
        <f t="shared" si="44"/>
        <v>0.25589355962068772</v>
      </c>
      <c r="AW14" s="305">
        <f t="shared" si="45"/>
        <v>0.27701810250585973</v>
      </c>
      <c r="AX14" s="305">
        <f t="shared" si="46"/>
        <v>0.26697363828795168</v>
      </c>
      <c r="AY14" s="306">
        <f t="shared" si="47"/>
        <v>0.25211302273112374</v>
      </c>
      <c r="AZ14" s="306">
        <f t="shared" si="48"/>
        <v>0.27281700113893059</v>
      </c>
      <c r="BA14" s="306">
        <f t="shared" si="49"/>
        <v>0.25839881550189897</v>
      </c>
      <c r="BB14" s="306">
        <f t="shared" si="50"/>
        <v>0.26411226947260968</v>
      </c>
      <c r="BC14" s="306">
        <f t="shared" si="51"/>
        <v>0.24160677912827921</v>
      </c>
      <c r="BD14" s="306">
        <f t="shared" si="52"/>
        <v>0.21637611547796698</v>
      </c>
      <c r="BE14" s="306">
        <f t="shared" si="53"/>
        <v>0.27211329479307078</v>
      </c>
      <c r="BF14" s="306" t="str">
        <f t="shared" si="54"/>
        <v/>
      </c>
      <c r="BG14" s="307">
        <f t="shared" si="55"/>
        <v>0.25872788790838797</v>
      </c>
      <c r="BH14" s="306">
        <f t="shared" si="56"/>
        <v>0.2658167705493536</v>
      </c>
      <c r="BI14" s="307">
        <f t="shared" si="57"/>
        <v>0.24990325311823913</v>
      </c>
      <c r="BJ14" s="306">
        <f t="shared" si="58"/>
        <v>0.2676286204084169</v>
      </c>
      <c r="BK14" s="306">
        <f t="shared" si="59"/>
        <v>0.26380331737847085</v>
      </c>
      <c r="BL14" s="306">
        <f t="shared" si="60"/>
        <v>0.25434358592090045</v>
      </c>
      <c r="BM14" s="307">
        <f t="shared" si="61"/>
        <v>0.24399633164725301</v>
      </c>
    </row>
    <row r="15" spans="2:65" ht="33" x14ac:dyDescent="0.2">
      <c r="B15" s="300" t="s">
        <v>284</v>
      </c>
      <c r="C15" s="288">
        <v>91060795.599999994</v>
      </c>
      <c r="D15" s="288">
        <v>71242893.299999997</v>
      </c>
      <c r="E15" s="288">
        <v>72887479.299999997</v>
      </c>
      <c r="F15" s="288">
        <v>72173433</v>
      </c>
      <c r="G15" s="289">
        <v>69886465.700000003</v>
      </c>
      <c r="H15" s="289">
        <v>65714354.899999999</v>
      </c>
      <c r="I15" s="289">
        <v>68868779.900000006</v>
      </c>
      <c r="J15" s="289">
        <v>65116613.600000001</v>
      </c>
      <c r="K15" s="289">
        <v>71528972</v>
      </c>
      <c r="L15" s="289">
        <v>79916867.200000003</v>
      </c>
      <c r="M15" s="289">
        <v>73648525.700000003</v>
      </c>
      <c r="N15" s="289"/>
      <c r="O15" s="290">
        <f t="shared" si="62"/>
        <v>802045180.20000005</v>
      </c>
      <c r="P15" s="289">
        <f t="shared" si="63"/>
        <v>442965421.79999995</v>
      </c>
      <c r="Q15" s="290">
        <f t="shared" si="64"/>
        <v>359079758.39999998</v>
      </c>
      <c r="R15" s="289">
        <f t="shared" si="65"/>
        <v>235191168.19999999</v>
      </c>
      <c r="S15" s="289">
        <f t="shared" si="66"/>
        <v>207774253.59999999</v>
      </c>
      <c r="T15" s="289">
        <f t="shared" si="67"/>
        <v>205514365.5</v>
      </c>
      <c r="U15" s="290">
        <f t="shared" si="68"/>
        <v>153565392.90000001</v>
      </c>
      <c r="X15" s="300" t="s">
        <v>284</v>
      </c>
      <c r="Y15" s="288">
        <v>23141348.399999999</v>
      </c>
      <c r="Z15" s="288">
        <v>16740906.5</v>
      </c>
      <c r="AA15" s="288">
        <v>18651063.452830188</v>
      </c>
      <c r="AB15" s="288">
        <v>18127099.886792451</v>
      </c>
      <c r="AC15" s="289">
        <v>17050641.590566039</v>
      </c>
      <c r="AD15" s="289">
        <v>17242450.979245283</v>
      </c>
      <c r="AE15" s="289">
        <v>17060421.996226415</v>
      </c>
      <c r="AF15" s="289">
        <v>16235447.161320755</v>
      </c>
      <c r="AG15" s="289">
        <v>16150201.905660378</v>
      </c>
      <c r="AH15" s="289">
        <v>15755886.724528303</v>
      </c>
      <c r="AI15" s="289">
        <v>19410097.281132076</v>
      </c>
      <c r="AJ15" s="289"/>
      <c r="AK15" s="290">
        <f t="shared" si="69"/>
        <v>195565565.87830192</v>
      </c>
      <c r="AL15" s="289">
        <f t="shared" si="70"/>
        <v>110953510.80943397</v>
      </c>
      <c r="AM15" s="290">
        <f t="shared" si="71"/>
        <v>84612055.068867922</v>
      </c>
      <c r="AN15" s="289">
        <f t="shared" si="72"/>
        <v>58533318.352830186</v>
      </c>
      <c r="AO15" s="289">
        <f t="shared" si="73"/>
        <v>52420192.456603773</v>
      </c>
      <c r="AP15" s="289">
        <f t="shared" si="74"/>
        <v>49446071.063207544</v>
      </c>
      <c r="AQ15" s="290">
        <f t="shared" si="75"/>
        <v>35165984.005660377</v>
      </c>
      <c r="AR15" s="7">
        <f t="shared" si="43"/>
        <v>0</v>
      </c>
      <c r="AS15" s="6">
        <v>1.1200000000000001</v>
      </c>
      <c r="AT15" s="300" t="s">
        <v>284</v>
      </c>
      <c r="AU15" s="308">
        <f t="shared" si="76"/>
        <v>0.28462644145841398</v>
      </c>
      <c r="AV15" s="308">
        <f t="shared" si="44"/>
        <v>0.26318155273460803</v>
      </c>
      <c r="AW15" s="308">
        <f t="shared" si="45"/>
        <v>0.28659505401732027</v>
      </c>
      <c r="AX15" s="308">
        <f t="shared" si="46"/>
        <v>0.28129951741671411</v>
      </c>
      <c r="AY15" s="309">
        <f t="shared" si="47"/>
        <v>0.27325346031104225</v>
      </c>
      <c r="AZ15" s="309">
        <f t="shared" si="48"/>
        <v>0.29387102903379059</v>
      </c>
      <c r="BA15" s="309">
        <f t="shared" si="49"/>
        <v>0.27745043056547003</v>
      </c>
      <c r="BB15" s="309">
        <f t="shared" si="50"/>
        <v>0.27924825655674523</v>
      </c>
      <c r="BC15" s="309">
        <f t="shared" si="51"/>
        <v>0.25287971612872645</v>
      </c>
      <c r="BD15" s="309">
        <f t="shared" si="52"/>
        <v>0.22081187300935265</v>
      </c>
      <c r="BE15" s="309">
        <f t="shared" si="53"/>
        <v>0.29517643086870271</v>
      </c>
      <c r="BF15" s="309" t="str">
        <f t="shared" si="54"/>
        <v/>
      </c>
      <c r="BG15" s="310">
        <f t="shared" si="55"/>
        <v>0.27309363511053009</v>
      </c>
      <c r="BH15" s="309">
        <f t="shared" si="56"/>
        <v>0.28053641659342282</v>
      </c>
      <c r="BI15" s="310">
        <f t="shared" si="57"/>
        <v>0.26391212386738672</v>
      </c>
      <c r="BJ15" s="309">
        <f t="shared" si="58"/>
        <v>0.27874055414964266</v>
      </c>
      <c r="BK15" s="309">
        <f t="shared" si="59"/>
        <v>0.28256925261020999</v>
      </c>
      <c r="BL15" s="309">
        <f t="shared" si="60"/>
        <v>0.26946826542299523</v>
      </c>
      <c r="BM15" s="310">
        <f t="shared" si="61"/>
        <v>0.25647641921501985</v>
      </c>
    </row>
    <row r="16" spans="2:65" x14ac:dyDescent="0.2">
      <c r="B16" s="294" t="s">
        <v>274</v>
      </c>
      <c r="C16" s="291">
        <v>11875837.4</v>
      </c>
      <c r="D16" s="291">
        <v>9505244.5999999996</v>
      </c>
      <c r="E16" s="291">
        <v>8448582.2000000011</v>
      </c>
      <c r="F16" s="291">
        <v>10411125</v>
      </c>
      <c r="G16" s="292">
        <v>7751860</v>
      </c>
      <c r="H16" s="292">
        <v>8753480.5999999996</v>
      </c>
      <c r="I16" s="292">
        <v>9067021.2000000011</v>
      </c>
      <c r="J16" s="292">
        <v>7495744.7999999998</v>
      </c>
      <c r="K16" s="292">
        <v>13999987.799999999</v>
      </c>
      <c r="L16" s="292">
        <v>18029060</v>
      </c>
      <c r="M16" s="292">
        <v>16780506.699999999</v>
      </c>
      <c r="N16" s="292"/>
      <c r="O16" s="293">
        <f t="shared" si="62"/>
        <v>122118450.30000001</v>
      </c>
      <c r="P16" s="292">
        <f t="shared" si="63"/>
        <v>56746129.800000004</v>
      </c>
      <c r="Q16" s="293">
        <f t="shared" si="64"/>
        <v>65372320.5</v>
      </c>
      <c r="R16" s="292">
        <f t="shared" si="65"/>
        <v>29829664.200000003</v>
      </c>
      <c r="S16" s="292">
        <f t="shared" si="66"/>
        <v>26916465.600000001</v>
      </c>
      <c r="T16" s="292">
        <f t="shared" si="67"/>
        <v>30562753.799999997</v>
      </c>
      <c r="U16" s="293">
        <f t="shared" si="68"/>
        <v>34809566.700000003</v>
      </c>
      <c r="X16" s="294" t="s">
        <v>274</v>
      </c>
      <c r="Y16" s="291">
        <v>2549751.2000000002</v>
      </c>
      <c r="Z16" s="291">
        <v>1880081.8</v>
      </c>
      <c r="AA16" s="291">
        <v>2130051.1999999997</v>
      </c>
      <c r="AB16" s="291">
        <v>2615080.4</v>
      </c>
      <c r="AC16" s="292">
        <v>1752152.4000000001</v>
      </c>
      <c r="AD16" s="292">
        <v>2225886</v>
      </c>
      <c r="AE16" s="292">
        <v>1876419.1</v>
      </c>
      <c r="AF16" s="292">
        <v>1908652.7</v>
      </c>
      <c r="AG16" s="292">
        <v>2008057.5999999999</v>
      </c>
      <c r="AH16" s="292">
        <v>1945294.6</v>
      </c>
      <c r="AI16" s="292">
        <v>3494718</v>
      </c>
      <c r="AJ16" s="292"/>
      <c r="AK16" s="293">
        <f t="shared" si="69"/>
        <v>24386145.000000004</v>
      </c>
      <c r="AL16" s="292">
        <f t="shared" si="70"/>
        <v>13153003</v>
      </c>
      <c r="AM16" s="293">
        <f t="shared" si="71"/>
        <v>11233142</v>
      </c>
      <c r="AN16" s="292">
        <f t="shared" si="72"/>
        <v>6559884.1999999993</v>
      </c>
      <c r="AO16" s="292">
        <f t="shared" si="73"/>
        <v>6593118.7999999998</v>
      </c>
      <c r="AP16" s="292">
        <f t="shared" si="74"/>
        <v>5793129.3999999994</v>
      </c>
      <c r="AQ16" s="293">
        <f t="shared" si="75"/>
        <v>5440012.5999999996</v>
      </c>
      <c r="AR16" s="7">
        <f t="shared" si="43"/>
        <v>0</v>
      </c>
      <c r="AS16" s="6">
        <v>1.1200000000000001</v>
      </c>
      <c r="AT16" s="294" t="s">
        <v>274</v>
      </c>
      <c r="AU16" s="311">
        <f t="shared" si="76"/>
        <v>0.24046484031517645</v>
      </c>
      <c r="AV16" s="311">
        <f t="shared" si="44"/>
        <v>0.22152945080445383</v>
      </c>
      <c r="AW16" s="311">
        <f t="shared" si="45"/>
        <v>0.28237369152897629</v>
      </c>
      <c r="AX16" s="311">
        <f t="shared" si="46"/>
        <v>0.28132310850172293</v>
      </c>
      <c r="AY16" s="312">
        <f t="shared" si="47"/>
        <v>0.25315352547646636</v>
      </c>
      <c r="AZ16" s="312">
        <f t="shared" si="48"/>
        <v>0.28480011939479255</v>
      </c>
      <c r="BA16" s="312">
        <f t="shared" si="49"/>
        <v>0.23178388421546872</v>
      </c>
      <c r="BB16" s="312">
        <f t="shared" si="50"/>
        <v>0.28518727371828351</v>
      </c>
      <c r="BC16" s="312">
        <f t="shared" si="51"/>
        <v>0.16064474799042328</v>
      </c>
      <c r="BD16" s="312">
        <f t="shared" si="52"/>
        <v>0.12084545461604768</v>
      </c>
      <c r="BE16" s="312">
        <f t="shared" si="53"/>
        <v>0.23325184572644642</v>
      </c>
      <c r="BF16" s="312" t="str">
        <f t="shared" si="54"/>
        <v/>
      </c>
      <c r="BG16" s="313">
        <f t="shared" si="55"/>
        <v>0.22365565836205181</v>
      </c>
      <c r="BH16" s="312">
        <f t="shared" si="56"/>
        <v>0.25960119944602811</v>
      </c>
      <c r="BI16" s="313">
        <f t="shared" si="57"/>
        <v>0.19245330353540074</v>
      </c>
      <c r="BJ16" s="312">
        <f t="shared" si="58"/>
        <v>0.24630080495508894</v>
      </c>
      <c r="BK16" s="312">
        <f t="shared" si="59"/>
        <v>0.27434111022362462</v>
      </c>
      <c r="BL16" s="312">
        <f t="shared" si="60"/>
        <v>0.2122945128066307</v>
      </c>
      <c r="BM16" s="313">
        <f t="shared" si="61"/>
        <v>0.17503274787962239</v>
      </c>
    </row>
    <row r="17" spans="2:65" x14ac:dyDescent="0.2">
      <c r="B17" s="280" t="s">
        <v>285</v>
      </c>
      <c r="C17" s="281">
        <v>5280469.6599999201</v>
      </c>
      <c r="D17" s="281">
        <v>5228202.1400003899</v>
      </c>
      <c r="E17" s="281">
        <v>5686460.73000025</v>
      </c>
      <c r="F17" s="281">
        <v>4949084.2900002804</v>
      </c>
      <c r="G17" s="286">
        <v>4623575.5200004103</v>
      </c>
      <c r="H17" s="286">
        <v>4963729.4800004596</v>
      </c>
      <c r="I17" s="286">
        <v>5789922.8300003801</v>
      </c>
      <c r="J17" s="286">
        <v>7084063.2600004496</v>
      </c>
      <c r="K17" s="286">
        <v>5517952.3700004602</v>
      </c>
      <c r="L17" s="286">
        <v>6676835.0200004</v>
      </c>
      <c r="M17" s="286">
        <v>5965314.6100003198</v>
      </c>
      <c r="N17" s="286"/>
      <c r="O17" s="282">
        <f t="shared" si="62"/>
        <v>61765609.910003722</v>
      </c>
      <c r="P17" s="286">
        <f t="shared" si="63"/>
        <v>30731521.82000171</v>
      </c>
      <c r="Q17" s="282">
        <f t="shared" si="64"/>
        <v>31034088.090002008</v>
      </c>
      <c r="R17" s="286">
        <f t="shared" si="65"/>
        <v>16195132.53000056</v>
      </c>
      <c r="S17" s="286">
        <f t="shared" si="66"/>
        <v>14536389.29000115</v>
      </c>
      <c r="T17" s="286">
        <f t="shared" si="67"/>
        <v>18391938.46000129</v>
      </c>
      <c r="U17" s="282">
        <f t="shared" si="68"/>
        <v>12642149.63000072</v>
      </c>
      <c r="X17" s="280" t="s">
        <v>285</v>
      </c>
      <c r="Y17" s="281">
        <v>573137.28</v>
      </c>
      <c r="Z17" s="281">
        <v>613994.72999999905</v>
      </c>
      <c r="AA17" s="281">
        <v>694290.25999999605</v>
      </c>
      <c r="AB17" s="281">
        <v>571341.17999999807</v>
      </c>
      <c r="AC17" s="286">
        <v>565277.799999999</v>
      </c>
      <c r="AD17" s="286">
        <v>628136.95999999903</v>
      </c>
      <c r="AE17" s="286">
        <v>728343.64999999595</v>
      </c>
      <c r="AF17" s="286">
        <v>803735.22999999893</v>
      </c>
      <c r="AG17" s="286">
        <v>605885.03999999398</v>
      </c>
      <c r="AH17" s="286">
        <v>791985.11999999697</v>
      </c>
      <c r="AI17" s="286">
        <v>680080.68000000203</v>
      </c>
      <c r="AJ17" s="286"/>
      <c r="AK17" s="282">
        <f t="shared" si="69"/>
        <v>7256207.9299999792</v>
      </c>
      <c r="AL17" s="286">
        <f t="shared" si="70"/>
        <v>3646178.2099999911</v>
      </c>
      <c r="AM17" s="282">
        <f t="shared" si="71"/>
        <v>3610029.7199999876</v>
      </c>
      <c r="AN17" s="286">
        <f t="shared" si="72"/>
        <v>1881422.2699999951</v>
      </c>
      <c r="AO17" s="286">
        <f t="shared" si="73"/>
        <v>1764755.9399999962</v>
      </c>
      <c r="AP17" s="286">
        <f t="shared" si="74"/>
        <v>2137963.9199999887</v>
      </c>
      <c r="AQ17" s="282">
        <f t="shared" si="75"/>
        <v>1472065.7999999989</v>
      </c>
      <c r="AR17" s="7">
        <f t="shared" si="43"/>
        <v>0</v>
      </c>
      <c r="AS17" s="6">
        <v>1.1200000000000001</v>
      </c>
      <c r="AT17" s="280" t="s">
        <v>285</v>
      </c>
      <c r="AU17" s="314">
        <f t="shared" si="76"/>
        <v>0.12156376135678995</v>
      </c>
      <c r="AV17" s="314">
        <f t="shared" si="44"/>
        <v>0.13153165833789812</v>
      </c>
      <c r="AW17" s="314">
        <f t="shared" si="45"/>
        <v>0.13674676184741039</v>
      </c>
      <c r="AX17" s="314">
        <f t="shared" si="46"/>
        <v>0.12929707479279196</v>
      </c>
      <c r="AY17" s="315">
        <f t="shared" si="47"/>
        <v>0.13693106844720526</v>
      </c>
      <c r="AZ17" s="315">
        <f t="shared" si="48"/>
        <v>0.14173080906897728</v>
      </c>
      <c r="BA17" s="315">
        <f t="shared" si="49"/>
        <v>0.14089045950202103</v>
      </c>
      <c r="BB17" s="315">
        <f t="shared" si="50"/>
        <v>0.12707162888886198</v>
      </c>
      <c r="BC17" s="315">
        <f t="shared" si="51"/>
        <v>0.12297881520132381</v>
      </c>
      <c r="BD17" s="315">
        <f t="shared" si="52"/>
        <v>0.13285086897353704</v>
      </c>
      <c r="BE17" s="315">
        <f t="shared" si="53"/>
        <v>0.12768653648595435</v>
      </c>
      <c r="BF17" s="315" t="str">
        <f t="shared" si="54"/>
        <v/>
      </c>
      <c r="BG17" s="295">
        <f t="shared" si="55"/>
        <v>0.13157731128117162</v>
      </c>
      <c r="BH17" s="315">
        <f t="shared" si="56"/>
        <v>0.13288374129725292</v>
      </c>
      <c r="BI17" s="295">
        <f t="shared" si="57"/>
        <v>0.13028361828045984</v>
      </c>
      <c r="BJ17" s="315">
        <f t="shared" si="58"/>
        <v>0.13011273223584557</v>
      </c>
      <c r="BK17" s="315">
        <f t="shared" si="59"/>
        <v>0.13597094941310831</v>
      </c>
      <c r="BL17" s="315">
        <f t="shared" si="60"/>
        <v>0.13019397577952854</v>
      </c>
      <c r="BM17" s="295">
        <f t="shared" si="61"/>
        <v>0.13041403117769498</v>
      </c>
    </row>
    <row r="18" spans="2:65" x14ac:dyDescent="0.2">
      <c r="B18" s="301" t="s">
        <v>286</v>
      </c>
      <c r="C18" s="302">
        <v>2409109.2899999199</v>
      </c>
      <c r="D18" s="303">
        <v>1861790.3900003899</v>
      </c>
      <c r="E18" s="303">
        <v>2307012.9100002502</v>
      </c>
      <c r="F18" s="303">
        <v>2273177.89000028</v>
      </c>
      <c r="G18" s="303">
        <v>2060127.20000041</v>
      </c>
      <c r="H18" s="303">
        <v>1942473.5600004599</v>
      </c>
      <c r="I18" s="303">
        <v>2016351.8600003801</v>
      </c>
      <c r="J18" s="303">
        <v>2011193.2900004501</v>
      </c>
      <c r="K18" s="303">
        <v>1987563.93000046</v>
      </c>
      <c r="L18" s="303">
        <v>1931179.3800003999</v>
      </c>
      <c r="M18" s="303">
        <v>2166452.4500003201</v>
      </c>
      <c r="N18" s="303"/>
      <c r="O18" s="304">
        <f t="shared" si="62"/>
        <v>22966432.150003724</v>
      </c>
      <c r="P18" s="303">
        <f t="shared" si="63"/>
        <v>12853691.240001712</v>
      </c>
      <c r="Q18" s="304">
        <f t="shared" si="64"/>
        <v>10112740.91000201</v>
      </c>
      <c r="R18" s="303">
        <f t="shared" si="65"/>
        <v>6577912.5900005605</v>
      </c>
      <c r="S18" s="303">
        <f t="shared" si="66"/>
        <v>6275778.6500011496</v>
      </c>
      <c r="T18" s="303">
        <f t="shared" si="67"/>
        <v>6015109.08000129</v>
      </c>
      <c r="U18" s="304">
        <f t="shared" si="68"/>
        <v>4097631.83000072</v>
      </c>
      <c r="X18" s="301" t="s">
        <v>287</v>
      </c>
      <c r="Y18" s="302">
        <v>273065.38</v>
      </c>
      <c r="Z18" s="303">
        <v>229873.769999999</v>
      </c>
      <c r="AA18" s="303">
        <v>282960.639999996</v>
      </c>
      <c r="AB18" s="303">
        <v>242804.10999999801</v>
      </c>
      <c r="AC18" s="303">
        <v>238071.55999999901</v>
      </c>
      <c r="AD18" s="303">
        <v>227082.53999999899</v>
      </c>
      <c r="AE18" s="303">
        <v>236449.68999999599</v>
      </c>
      <c r="AF18" s="303">
        <v>232792.519999999</v>
      </c>
      <c r="AG18" s="303">
        <v>224695.93999999401</v>
      </c>
      <c r="AH18" s="303">
        <v>223615.999999997</v>
      </c>
      <c r="AI18" s="303">
        <v>234721.50000000201</v>
      </c>
      <c r="AJ18" s="303"/>
      <c r="AK18" s="304">
        <f t="shared" si="69"/>
        <v>2646133.6499999794</v>
      </c>
      <c r="AL18" s="303">
        <f t="shared" si="70"/>
        <v>1493857.9999999912</v>
      </c>
      <c r="AM18" s="304">
        <f t="shared" si="71"/>
        <v>1152275.649999988</v>
      </c>
      <c r="AN18" s="303">
        <f t="shared" si="72"/>
        <v>785899.78999999491</v>
      </c>
      <c r="AO18" s="303">
        <f t="shared" si="73"/>
        <v>707958.209999996</v>
      </c>
      <c r="AP18" s="303">
        <f t="shared" si="74"/>
        <v>693938.14999998896</v>
      </c>
      <c r="AQ18" s="304">
        <f t="shared" si="75"/>
        <v>458337.49999999901</v>
      </c>
      <c r="AR18" s="7">
        <f t="shared" si="43"/>
        <v>-1547715.2965934337</v>
      </c>
      <c r="AS18" s="6">
        <v>1.1200000000000001</v>
      </c>
      <c r="AT18" s="301" t="s">
        <v>287</v>
      </c>
      <c r="AU18" s="316">
        <f t="shared" si="76"/>
        <v>0.1269486722206821</v>
      </c>
      <c r="AV18" s="317">
        <f t="shared" si="44"/>
        <v>0.13828550398734468</v>
      </c>
      <c r="AW18" s="317">
        <f t="shared" si="45"/>
        <v>0.13737067331797512</v>
      </c>
      <c r="AX18" s="317">
        <f t="shared" si="46"/>
        <v>0.11963014614749939</v>
      </c>
      <c r="AY18" s="317">
        <f t="shared" si="47"/>
        <v>0.12942897273524948</v>
      </c>
      <c r="AZ18" s="317">
        <f t="shared" si="48"/>
        <v>0.13093225567504696</v>
      </c>
      <c r="BA18" s="317">
        <f t="shared" si="49"/>
        <v>0.13133801597502215</v>
      </c>
      <c r="BB18" s="317">
        <f t="shared" si="50"/>
        <v>0.12963827181421264</v>
      </c>
      <c r="BC18" s="317">
        <f t="shared" si="51"/>
        <v>0.12661703555866757</v>
      </c>
      <c r="BD18" s="317">
        <f t="shared" si="52"/>
        <v>0.12968754875579958</v>
      </c>
      <c r="BE18" s="317">
        <f t="shared" si="53"/>
        <v>0.12134495728256738</v>
      </c>
      <c r="BF18" s="317" t="str">
        <f t="shared" si="54"/>
        <v/>
      </c>
      <c r="BG18" s="318">
        <f t="shared" si="55"/>
        <v>0.12904353922468087</v>
      </c>
      <c r="BH18" s="317">
        <f t="shared" si="56"/>
        <v>0.13016657462512438</v>
      </c>
      <c r="BI18" s="318">
        <f t="shared" si="57"/>
        <v>0.12761611708291359</v>
      </c>
      <c r="BJ18" s="317">
        <f t="shared" si="58"/>
        <v>0.13381262714528097</v>
      </c>
      <c r="BK18" s="317">
        <f t="shared" si="59"/>
        <v>0.12634499070483476</v>
      </c>
      <c r="BL18" s="317">
        <f t="shared" si="60"/>
        <v>0.12920974793026047</v>
      </c>
      <c r="BM18" s="318">
        <f t="shared" si="61"/>
        <v>0.12527675040046454</v>
      </c>
    </row>
    <row r="19" spans="2:65" x14ac:dyDescent="0.2">
      <c r="X19" s="6" t="s">
        <v>282</v>
      </c>
      <c r="Y19" s="70">
        <f>Y14-Y15</f>
        <v>2769275.5999999978</v>
      </c>
      <c r="Z19" s="70">
        <f t="shared" ref="Z19:AQ19" si="77">Z14-Z15</f>
        <v>1936495.5</v>
      </c>
      <c r="AA19" s="70">
        <f t="shared" si="77"/>
        <v>2247015</v>
      </c>
      <c r="AB19" s="70">
        <f t="shared" si="77"/>
        <v>2050039</v>
      </c>
      <c r="AC19" s="70">
        <f t="shared" si="77"/>
        <v>1739690.8999999985</v>
      </c>
      <c r="AD19" s="70">
        <f t="shared" si="77"/>
        <v>1876887.6999999993</v>
      </c>
      <c r="AE19" s="70">
        <f t="shared" si="77"/>
        <v>1558920.3999999985</v>
      </c>
      <c r="AF19" s="70">
        <f t="shared" si="77"/>
        <v>1430264.4000000004</v>
      </c>
      <c r="AG19" s="70">
        <f t="shared" si="77"/>
        <v>1787154.9999999981</v>
      </c>
      <c r="AH19" s="70">
        <f t="shared" si="77"/>
        <v>1736340.1999999974</v>
      </c>
      <c r="AI19" s="70">
        <f t="shared" si="77"/>
        <v>2199377.2000000253</v>
      </c>
      <c r="AJ19" s="70">
        <f t="shared" si="77"/>
        <v>0</v>
      </c>
      <c r="AK19" s="70">
        <f t="shared" si="77"/>
        <v>21331460.899999976</v>
      </c>
      <c r="AL19" s="70">
        <f t="shared" si="77"/>
        <v>12619403.700000003</v>
      </c>
      <c r="AM19" s="70">
        <f t="shared" si="77"/>
        <v>8712057.2000000328</v>
      </c>
      <c r="AN19" s="70">
        <f t="shared" si="77"/>
        <v>6952786.1000000015</v>
      </c>
      <c r="AO19" s="70">
        <f t="shared" si="77"/>
        <v>5666617.6000000015</v>
      </c>
      <c r="AP19" s="70">
        <f t="shared" si="77"/>
        <v>4776339.8000000045</v>
      </c>
      <c r="AQ19" s="70">
        <f t="shared" si="77"/>
        <v>3935717.4000000283</v>
      </c>
      <c r="AR19" s="7">
        <f t="shared" si="43"/>
        <v>-6580411.5708586834</v>
      </c>
    </row>
    <row r="20" spans="2:65" x14ac:dyDescent="0.2">
      <c r="X20" s="6" t="s">
        <v>296</v>
      </c>
      <c r="Y20" s="70">
        <v>19869985</v>
      </c>
      <c r="Z20" s="70">
        <v>18356031</v>
      </c>
      <c r="AA20" s="70">
        <v>22268977</v>
      </c>
      <c r="AB20" s="70">
        <v>36683170</v>
      </c>
      <c r="AC20" s="70">
        <v>31682217</v>
      </c>
      <c r="AD20" s="70">
        <v>42674514</v>
      </c>
      <c r="AE20" s="70">
        <v>40550181</v>
      </c>
      <c r="AF20" s="70">
        <v>49675432</v>
      </c>
      <c r="AG20" s="70">
        <v>35222909</v>
      </c>
      <c r="AH20" s="70">
        <v>33073320</v>
      </c>
      <c r="AI20" s="70">
        <v>53969000</v>
      </c>
      <c r="AJ20" s="70"/>
      <c r="AK20" s="70">
        <f>SUM(Y20:AJ20)</f>
        <v>384025736</v>
      </c>
    </row>
    <row r="21" spans="2:65" x14ac:dyDescent="0.2">
      <c r="B21" s="319" t="s">
        <v>290</v>
      </c>
      <c r="X21" s="319" t="s">
        <v>290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</row>
    <row r="22" spans="2:65" x14ac:dyDescent="0.2">
      <c r="B22" s="90" t="s">
        <v>276</v>
      </c>
      <c r="C22" s="91" t="s">
        <v>92</v>
      </c>
      <c r="D22" s="91" t="s">
        <v>93</v>
      </c>
      <c r="E22" s="91" t="s">
        <v>61</v>
      </c>
      <c r="F22" s="91" t="s">
        <v>62</v>
      </c>
      <c r="G22" s="91" t="s">
        <v>63</v>
      </c>
      <c r="H22" s="91" t="s">
        <v>64</v>
      </c>
      <c r="I22" s="91" t="s">
        <v>65</v>
      </c>
      <c r="J22" s="91" t="s">
        <v>66</v>
      </c>
      <c r="K22" s="91" t="s">
        <v>67</v>
      </c>
      <c r="L22" s="91" t="s">
        <v>68</v>
      </c>
      <c r="M22" s="91" t="s">
        <v>69</v>
      </c>
      <c r="N22" s="91" t="s">
        <v>94</v>
      </c>
      <c r="O22" s="92" t="s">
        <v>277</v>
      </c>
      <c r="P22" s="285" t="s">
        <v>278</v>
      </c>
      <c r="Q22" s="92" t="s">
        <v>279</v>
      </c>
      <c r="R22" s="91" t="s">
        <v>280</v>
      </c>
      <c r="S22" s="91" t="s">
        <v>126</v>
      </c>
      <c r="T22" s="91" t="s">
        <v>281</v>
      </c>
      <c r="U22" s="92" t="s">
        <v>150</v>
      </c>
      <c r="X22" s="90" t="s">
        <v>4</v>
      </c>
      <c r="Y22" s="91" t="s">
        <v>92</v>
      </c>
      <c r="Z22" s="91" t="s">
        <v>93</v>
      </c>
      <c r="AA22" s="91" t="s">
        <v>61</v>
      </c>
      <c r="AB22" s="91" t="s">
        <v>62</v>
      </c>
      <c r="AC22" s="91" t="s">
        <v>63</v>
      </c>
      <c r="AD22" s="91" t="s">
        <v>64</v>
      </c>
      <c r="AE22" s="91" t="s">
        <v>65</v>
      </c>
      <c r="AF22" s="91" t="s">
        <v>66</v>
      </c>
      <c r="AG22" s="91" t="s">
        <v>67</v>
      </c>
      <c r="AH22" s="91" t="s">
        <v>68</v>
      </c>
      <c r="AI22" s="91" t="s">
        <v>69</v>
      </c>
      <c r="AJ22" s="91" t="s">
        <v>94</v>
      </c>
      <c r="AK22" s="92" t="s">
        <v>277</v>
      </c>
      <c r="AL22" s="285" t="s">
        <v>278</v>
      </c>
      <c r="AM22" s="92" t="s">
        <v>279</v>
      </c>
      <c r="AN22" s="285" t="s">
        <v>280</v>
      </c>
      <c r="AO22" s="91" t="s">
        <v>126</v>
      </c>
      <c r="AP22" s="91" t="s">
        <v>281</v>
      </c>
      <c r="AQ22" s="287" t="s">
        <v>150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</row>
    <row r="23" spans="2:65" x14ac:dyDescent="0.2">
      <c r="B23" s="166" t="s">
        <v>7</v>
      </c>
      <c r="C23" s="283">
        <f t="shared" ref="C23:U23" si="78">IFERROR(C13/C3,"")</f>
        <v>0.86524698844972991</v>
      </c>
      <c r="D23" s="283">
        <f t="shared" si="78"/>
        <v>0.97749862771266671</v>
      </c>
      <c r="E23" s="283">
        <f t="shared" si="78"/>
        <v>0.92104723711638903</v>
      </c>
      <c r="F23" s="283">
        <f t="shared" si="78"/>
        <v>0.94645730560032326</v>
      </c>
      <c r="G23" s="283">
        <f t="shared" si="78"/>
        <v>1.0168424349659535</v>
      </c>
      <c r="H23" s="283">
        <f t="shared" si="78"/>
        <v>0.98665414288528652</v>
      </c>
      <c r="I23" s="283">
        <f t="shared" si="78"/>
        <v>0.98417622502092605</v>
      </c>
      <c r="J23" s="283">
        <f t="shared" si="78"/>
        <v>0.89293680927383534</v>
      </c>
      <c r="K23" s="283">
        <f t="shared" si="78"/>
        <v>0.99981037696685693</v>
      </c>
      <c r="L23" s="283">
        <f t="shared" si="78"/>
        <v>1.052244194796208</v>
      </c>
      <c r="M23" s="283">
        <f t="shared" si="78"/>
        <v>0.89341795260624079</v>
      </c>
      <c r="N23" s="283">
        <f t="shared" si="78"/>
        <v>0</v>
      </c>
      <c r="O23" s="284">
        <f t="shared" si="78"/>
        <v>0.86369184454199632</v>
      </c>
      <c r="P23" s="283">
        <f t="shared" si="78"/>
        <v>0.94488603406380822</v>
      </c>
      <c r="Q23" s="284">
        <f t="shared" si="78"/>
        <v>0.78019271229894771</v>
      </c>
      <c r="R23" s="283">
        <f t="shared" si="78"/>
        <v>0.91362513891403763</v>
      </c>
      <c r="S23" s="283">
        <f t="shared" si="78"/>
        <v>0.98217933495174659</v>
      </c>
      <c r="T23" s="283">
        <f t="shared" si="78"/>
        <v>0.95860851760265442</v>
      </c>
      <c r="U23" s="284">
        <f t="shared" si="78"/>
        <v>0.62507202421974195</v>
      </c>
      <c r="X23" s="166" t="s">
        <v>7</v>
      </c>
      <c r="Y23" s="283">
        <f t="shared" ref="Y23:AQ23" si="79">IFERROR(Y13/Y3,"")</f>
        <v>0.90270480469244851</v>
      </c>
      <c r="Z23" s="283">
        <f t="shared" si="79"/>
        <v>1.0104852006630425</v>
      </c>
      <c r="AA23" s="283">
        <f t="shared" si="79"/>
        <v>1.0291480316921673</v>
      </c>
      <c r="AB23" s="283">
        <f t="shared" si="79"/>
        <v>0.9731265535141862</v>
      </c>
      <c r="AC23" s="283">
        <f t="shared" si="79"/>
        <v>0.99259746542169114</v>
      </c>
      <c r="AD23" s="283">
        <f t="shared" si="79"/>
        <v>1.0118917200589626</v>
      </c>
      <c r="AE23" s="283">
        <f t="shared" si="79"/>
        <v>1.0195647950565789</v>
      </c>
      <c r="AF23" s="283">
        <f t="shared" si="79"/>
        <v>0.93776674952713002</v>
      </c>
      <c r="AG23" s="283">
        <f t="shared" si="79"/>
        <v>0.95883672306697454</v>
      </c>
      <c r="AH23" s="283">
        <f t="shared" si="79"/>
        <v>0.91576396849879893</v>
      </c>
      <c r="AI23" s="283">
        <f t="shared" si="79"/>
        <v>0.92281246314672993</v>
      </c>
      <c r="AJ23" s="283">
        <f t="shared" si="79"/>
        <v>0</v>
      </c>
      <c r="AK23" s="284">
        <f t="shared" si="79"/>
        <v>0.87423595450802993</v>
      </c>
      <c r="AL23" s="283">
        <f t="shared" si="79"/>
        <v>0.98036786711873569</v>
      </c>
      <c r="AM23" s="284">
        <f t="shared" si="79"/>
        <v>0.76465366745524743</v>
      </c>
      <c r="AN23" s="283">
        <f t="shared" si="79"/>
        <v>0.97033535253103997</v>
      </c>
      <c r="AO23" s="283">
        <f t="shared" si="79"/>
        <v>0.99192791087868493</v>
      </c>
      <c r="AP23" s="283">
        <f t="shared" si="79"/>
        <v>0.97159200966173609</v>
      </c>
      <c r="AQ23" s="284">
        <f t="shared" si="79"/>
        <v>0.59016245679542756</v>
      </c>
      <c r="AR23" s="7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</row>
    <row r="24" spans="2:65" ht="30" x14ac:dyDescent="0.2">
      <c r="B24" s="296" t="s">
        <v>283</v>
      </c>
      <c r="C24" s="305">
        <f t="shared" ref="C24:U24" si="80">IFERROR(C14/C4,"")</f>
        <v>0.86921844076559085</v>
      </c>
      <c r="D24" s="305">
        <f t="shared" si="80"/>
        <v>0.98693483316247244</v>
      </c>
      <c r="E24" s="305">
        <f t="shared" si="80"/>
        <v>0.92756292100826931</v>
      </c>
      <c r="F24" s="305">
        <f t="shared" si="80"/>
        <v>0.95853588766868747</v>
      </c>
      <c r="G24" s="306">
        <f t="shared" si="80"/>
        <v>1.0309412690022943</v>
      </c>
      <c r="H24" s="306">
        <f t="shared" si="80"/>
        <v>1.0027294449748378</v>
      </c>
      <c r="I24" s="306">
        <f t="shared" si="80"/>
        <v>0.99494570876861721</v>
      </c>
      <c r="J24" s="306">
        <f t="shared" si="80"/>
        <v>0.90351910063448404</v>
      </c>
      <c r="K24" s="306">
        <f t="shared" si="80"/>
        <v>1.016495831252179</v>
      </c>
      <c r="L24" s="306">
        <f t="shared" si="80"/>
        <v>1.0722831246923852</v>
      </c>
      <c r="M24" s="306">
        <f t="shared" si="80"/>
        <v>0.90783064589822282</v>
      </c>
      <c r="N24" s="306">
        <f t="shared" si="80"/>
        <v>0</v>
      </c>
      <c r="O24" s="307">
        <f t="shared" si="80"/>
        <v>0.87447822524476115</v>
      </c>
      <c r="P24" s="306">
        <f t="shared" si="80"/>
        <v>0.95445617318643783</v>
      </c>
      <c r="Q24" s="307">
        <f t="shared" si="80"/>
        <v>0.79187623185506928</v>
      </c>
      <c r="R24" s="306">
        <f t="shared" si="80"/>
        <v>0.91977993730928298</v>
      </c>
      <c r="S24" s="306">
        <f t="shared" si="80"/>
        <v>0.99619213751799507</v>
      </c>
      <c r="T24" s="306">
        <f t="shared" si="80"/>
        <v>0.97128026456507199</v>
      </c>
      <c r="U24" s="307">
        <f t="shared" si="80"/>
        <v>0.63567962255544819</v>
      </c>
      <c r="X24" s="296" t="s">
        <v>283</v>
      </c>
      <c r="Y24" s="305">
        <f t="shared" ref="Y24:AQ24" si="81">IFERROR(Y14/Y4,"")</f>
        <v>0.90451687909327472</v>
      </c>
      <c r="Z24" s="305">
        <f t="shared" si="81"/>
        <v>1.014062764850743</v>
      </c>
      <c r="AA24" s="305">
        <f t="shared" si="81"/>
        <v>1.0339232155291254</v>
      </c>
      <c r="AB24" s="305">
        <f t="shared" si="81"/>
        <v>0.9797596954972223</v>
      </c>
      <c r="AC24" s="306">
        <f t="shared" si="81"/>
        <v>0.99999341678040832</v>
      </c>
      <c r="AD24" s="306">
        <f t="shared" si="81"/>
        <v>1.0185601735432357</v>
      </c>
      <c r="AE24" s="306">
        <f t="shared" si="81"/>
        <v>1.0268617376138212</v>
      </c>
      <c r="AF24" s="306">
        <f t="shared" si="81"/>
        <v>0.94538271022854414</v>
      </c>
      <c r="AG24" s="306">
        <f t="shared" si="81"/>
        <v>0.96843344709800006</v>
      </c>
      <c r="AH24" s="306">
        <f t="shared" si="81"/>
        <v>0.92439335213034157</v>
      </c>
      <c r="AI24" s="306">
        <f t="shared" si="81"/>
        <v>0.93061371146820593</v>
      </c>
      <c r="AJ24" s="306">
        <f t="shared" si="81"/>
        <v>0</v>
      </c>
      <c r="AK24" s="307">
        <f t="shared" si="81"/>
        <v>0.87996786951082917</v>
      </c>
      <c r="AL24" s="306">
        <f t="shared" si="81"/>
        <v>0.98517867341357213</v>
      </c>
      <c r="AM24" s="307">
        <f t="shared" si="81"/>
        <v>0.77094927828502091</v>
      </c>
      <c r="AN24" s="306">
        <f t="shared" si="81"/>
        <v>0.97338586969887808</v>
      </c>
      <c r="AO24" s="306">
        <f t="shared" si="81"/>
        <v>0.99882109187124957</v>
      </c>
      <c r="AP24" s="306">
        <f t="shared" si="81"/>
        <v>0.97979408728434325</v>
      </c>
      <c r="AQ24" s="307">
        <f t="shared" si="81"/>
        <v>0.59506205370325904</v>
      </c>
      <c r="AR24" s="7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</row>
    <row r="25" spans="2:65" ht="33" x14ac:dyDescent="0.2">
      <c r="B25" s="300" t="s">
        <v>284</v>
      </c>
      <c r="C25" s="308">
        <f t="shared" ref="C25:U25" si="82">IFERROR(C15/C5,"")</f>
        <v>0.9070264496786471</v>
      </c>
      <c r="D25" s="308">
        <f t="shared" si="82"/>
        <v>1.0600503498122278</v>
      </c>
      <c r="E25" s="308">
        <f t="shared" si="82"/>
        <v>0.98641246670787019</v>
      </c>
      <c r="F25" s="308">
        <f t="shared" si="82"/>
        <v>1.0071199590720146</v>
      </c>
      <c r="G25" s="309">
        <f t="shared" si="82"/>
        <v>1.0636567965014949</v>
      </c>
      <c r="H25" s="309">
        <f t="shared" si="82"/>
        <v>1.0339170134740308</v>
      </c>
      <c r="I25" s="309">
        <f t="shared" si="82"/>
        <v>1.0449319543371538</v>
      </c>
      <c r="J25" s="309">
        <f t="shared" si="82"/>
        <v>0.96608362098441936</v>
      </c>
      <c r="K25" s="309">
        <f t="shared" si="82"/>
        <v>1.0780015436094077</v>
      </c>
      <c r="L25" s="309">
        <f t="shared" si="82"/>
        <v>1.1667732539577182</v>
      </c>
      <c r="M25" s="309">
        <f t="shared" si="82"/>
        <v>0.92679990050284744</v>
      </c>
      <c r="N25" s="309">
        <f t="shared" si="82"/>
        <v>0</v>
      </c>
      <c r="O25" s="310">
        <f t="shared" si="82"/>
        <v>0.92073639170478772</v>
      </c>
      <c r="P25" s="309">
        <f t="shared" si="82"/>
        <v>1.0012345779428278</v>
      </c>
      <c r="Q25" s="310">
        <f t="shared" si="82"/>
        <v>0.83765663950942393</v>
      </c>
      <c r="R25" s="309">
        <f t="shared" si="82"/>
        <v>0.97390297175179075</v>
      </c>
      <c r="S25" s="309">
        <f t="shared" si="82"/>
        <v>1.034084533355565</v>
      </c>
      <c r="T25" s="309">
        <f t="shared" si="82"/>
        <v>1.0293040969683498</v>
      </c>
      <c r="U25" s="310">
        <f t="shared" si="82"/>
        <v>0.67056673978117154</v>
      </c>
      <c r="X25" s="300" t="s">
        <v>284</v>
      </c>
      <c r="Y25" s="308">
        <f t="shared" ref="Y25:AQ25" si="83">IFERROR(Y15/Y5,"")</f>
        <v>0.92430655217223323</v>
      </c>
      <c r="Z25" s="308">
        <f t="shared" si="83"/>
        <v>1.0389700034697151</v>
      </c>
      <c r="AA25" s="308">
        <f t="shared" si="83"/>
        <v>1.0548775693205388</v>
      </c>
      <c r="AB25" s="308">
        <f t="shared" si="83"/>
        <v>1.0061397385938657</v>
      </c>
      <c r="AC25" s="309">
        <f t="shared" si="83"/>
        <v>1.0372452016040579</v>
      </c>
      <c r="AD25" s="309">
        <f t="shared" si="83"/>
        <v>1.0497992792779403</v>
      </c>
      <c r="AE25" s="309">
        <f t="shared" si="83"/>
        <v>1.074922878109829</v>
      </c>
      <c r="AF25" s="309">
        <f t="shared" si="83"/>
        <v>0.99244024915678608</v>
      </c>
      <c r="AG25" s="309">
        <f t="shared" si="83"/>
        <v>0.99683016715154593</v>
      </c>
      <c r="AH25" s="309">
        <f t="shared" si="83"/>
        <v>0.95187542778997336</v>
      </c>
      <c r="AI25" s="309">
        <f t="shared" si="83"/>
        <v>0.95567862524410507</v>
      </c>
      <c r="AJ25" s="309">
        <f t="shared" si="83"/>
        <v>0</v>
      </c>
      <c r="AK25" s="310">
        <f t="shared" si="83"/>
        <v>0.90700759810019793</v>
      </c>
      <c r="AL25" s="309">
        <f t="shared" si="83"/>
        <v>1.0113381486129072</v>
      </c>
      <c r="AM25" s="310">
        <f t="shared" si="83"/>
        <v>0.79893066642997423</v>
      </c>
      <c r="AN25" s="309">
        <f t="shared" si="83"/>
        <v>0.99495338928759547</v>
      </c>
      <c r="AO25" s="309">
        <f t="shared" si="83"/>
        <v>1.0302833198040415</v>
      </c>
      <c r="AP25" s="309">
        <f t="shared" si="83"/>
        <v>1.0209385698081486</v>
      </c>
      <c r="AQ25" s="310">
        <f t="shared" si="83"/>
        <v>0.61185201412861012</v>
      </c>
      <c r="AR25" s="7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</row>
    <row r="26" spans="2:65" x14ac:dyDescent="0.2">
      <c r="B26" s="294" t="s">
        <v>274</v>
      </c>
      <c r="C26" s="311">
        <f t="shared" ref="C26:U26" si="84">IFERROR(C16/C6,"")</f>
        <v>1.0054066769554597</v>
      </c>
      <c r="D26" s="311">
        <f t="shared" si="84"/>
        <v>1.3626192565932265</v>
      </c>
      <c r="E26" s="311">
        <f t="shared" si="84"/>
        <v>0.83146411501010475</v>
      </c>
      <c r="F26" s="311">
        <f t="shared" si="84"/>
        <v>1.0227266425671764</v>
      </c>
      <c r="G26" s="312">
        <f t="shared" si="84"/>
        <v>1.0455592137411238</v>
      </c>
      <c r="H26" s="312">
        <f t="shared" si="84"/>
        <v>0.9194488127773629</v>
      </c>
      <c r="I26" s="312">
        <f t="shared" si="84"/>
        <v>1.7295385435601047</v>
      </c>
      <c r="J26" s="312">
        <f t="shared" si="84"/>
        <v>1.3534545204677333</v>
      </c>
      <c r="K26" s="312">
        <f t="shared" si="84"/>
        <v>1.746661376451945</v>
      </c>
      <c r="L26" s="312">
        <f t="shared" si="84"/>
        <v>1.6555072000521338</v>
      </c>
      <c r="M26" s="312">
        <f t="shared" si="84"/>
        <v>1.5301413643609698</v>
      </c>
      <c r="N26" s="312">
        <f t="shared" si="84"/>
        <v>0</v>
      </c>
      <c r="O26" s="313">
        <f t="shared" si="84"/>
        <v>1.1482017123287029</v>
      </c>
      <c r="P26" s="312">
        <f t="shared" si="84"/>
        <v>1.0121852168183332</v>
      </c>
      <c r="Q26" s="313">
        <f t="shared" si="84"/>
        <v>1.2998221991096448</v>
      </c>
      <c r="R26" s="312">
        <f t="shared" si="84"/>
        <v>1.0304290537065945</v>
      </c>
      <c r="S26" s="312">
        <f t="shared" si="84"/>
        <v>0.99270698653631362</v>
      </c>
      <c r="T26" s="312">
        <f t="shared" si="84"/>
        <v>1.6260271854617396</v>
      </c>
      <c r="U26" s="313">
        <f t="shared" si="84"/>
        <v>1.1051599271575123</v>
      </c>
      <c r="X26" s="294" t="s">
        <v>274</v>
      </c>
      <c r="Y26" s="311">
        <f t="shared" ref="Y26:AQ26" si="85">IFERROR(Y16/Y6,"")</f>
        <v>1.1870350093109872</v>
      </c>
      <c r="Z26" s="311">
        <f t="shared" si="85"/>
        <v>1.3525768345323741</v>
      </c>
      <c r="AA26" s="311">
        <f t="shared" si="85"/>
        <v>1.0255422243620604</v>
      </c>
      <c r="AB26" s="311">
        <f t="shared" si="85"/>
        <v>1.1185117194183063</v>
      </c>
      <c r="AC26" s="312">
        <f t="shared" si="85"/>
        <v>1.0950952500000002</v>
      </c>
      <c r="AD26" s="312">
        <f t="shared" si="85"/>
        <v>0.98708913525498887</v>
      </c>
      <c r="AE26" s="312">
        <f t="shared" si="85"/>
        <v>1.4880405233941316</v>
      </c>
      <c r="AF26" s="312">
        <f t="shared" si="85"/>
        <v>1.3993054985337243</v>
      </c>
      <c r="AG26" s="312">
        <f t="shared" si="85"/>
        <v>1.4101528089887641</v>
      </c>
      <c r="AH26" s="312">
        <f t="shared" si="85"/>
        <v>1.1782523319200484</v>
      </c>
      <c r="AI26" s="312">
        <f t="shared" si="85"/>
        <v>1.5287480314960631</v>
      </c>
      <c r="AJ26" s="312">
        <f t="shared" si="85"/>
        <v>0</v>
      </c>
      <c r="AK26" s="313">
        <f t="shared" si="85"/>
        <v>1.1327640746934227</v>
      </c>
      <c r="AL26" s="312">
        <f t="shared" si="85"/>
        <v>1.1139060806233063</v>
      </c>
      <c r="AM26" s="313">
        <f t="shared" si="85"/>
        <v>1.1556730452674897</v>
      </c>
      <c r="AN26" s="312">
        <f t="shared" si="85"/>
        <v>1.1682785752448797</v>
      </c>
      <c r="AO26" s="312">
        <f t="shared" si="85"/>
        <v>1.0646082351041499</v>
      </c>
      <c r="AP26" s="312">
        <f t="shared" si="85"/>
        <v>1.4307555939738206</v>
      </c>
      <c r="AQ26" s="313">
        <f t="shared" si="85"/>
        <v>0.95926866513842346</v>
      </c>
      <c r="AR26" s="7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</row>
    <row r="27" spans="2:65" x14ac:dyDescent="0.2">
      <c r="B27" s="280" t="s">
        <v>285</v>
      </c>
      <c r="C27" s="314">
        <f t="shared" ref="C27:U27" si="86">IFERROR(C17/C7,"")</f>
        <v>1.1470261658984704</v>
      </c>
      <c r="D27" s="314">
        <f t="shared" si="86"/>
        <v>1.3681433531016556</v>
      </c>
      <c r="E27" s="314">
        <f t="shared" si="86"/>
        <v>1.1225128249750016</v>
      </c>
      <c r="F27" s="314">
        <f t="shared" si="86"/>
        <v>0.8415416509254936</v>
      </c>
      <c r="G27" s="315">
        <f t="shared" si="86"/>
        <v>0.81579616551956602</v>
      </c>
      <c r="H27" s="315">
        <f t="shared" si="86"/>
        <v>0.86238021386202168</v>
      </c>
      <c r="I27" s="315">
        <f t="shared" si="86"/>
        <v>1.0489563138843012</v>
      </c>
      <c r="J27" s="315">
        <f t="shared" si="86"/>
        <v>1.183646605204554</v>
      </c>
      <c r="K27" s="315">
        <f t="shared" si="86"/>
        <v>0.88008944617380236</v>
      </c>
      <c r="L27" s="315">
        <f t="shared" si="86"/>
        <v>1.0230048620325192</v>
      </c>
      <c r="M27" s="315">
        <f t="shared" si="86"/>
        <v>0.82218772895242831</v>
      </c>
      <c r="N27" s="315">
        <f t="shared" si="86"/>
        <v>0</v>
      </c>
      <c r="O27" s="295">
        <f t="shared" si="86"/>
        <v>0.88236585585719607</v>
      </c>
      <c r="P27" s="315">
        <f t="shared" si="86"/>
        <v>0.99793163609295354</v>
      </c>
      <c r="Q27" s="295">
        <f t="shared" si="86"/>
        <v>0.79158934548014259</v>
      </c>
      <c r="R27" s="315">
        <f t="shared" si="86"/>
        <v>1.2004545466267453</v>
      </c>
      <c r="S27" s="315">
        <f t="shared" si="86"/>
        <v>0.84004084406251234</v>
      </c>
      <c r="T27" s="315">
        <f t="shared" si="86"/>
        <v>1.0347425711791538</v>
      </c>
      <c r="U27" s="295">
        <f t="shared" si="86"/>
        <v>0.58991739467278947</v>
      </c>
      <c r="X27" s="280" t="s">
        <v>285</v>
      </c>
      <c r="Y27" s="314">
        <f t="shared" ref="Y27:AQ27" si="87">IFERROR(Y17/Y7,"")</f>
        <v>1.1475040286020735</v>
      </c>
      <c r="Z27" s="314">
        <f t="shared" si="87"/>
        <v>1.471212207277143</v>
      </c>
      <c r="AA27" s="314">
        <f t="shared" si="87"/>
        <v>1.1917589813136462</v>
      </c>
      <c r="AB27" s="314">
        <f t="shared" si="87"/>
        <v>0.87585379824455589</v>
      </c>
      <c r="AC27" s="315">
        <f t="shared" si="87"/>
        <v>0.85532491225945928</v>
      </c>
      <c r="AD27" s="315">
        <f t="shared" si="87"/>
        <v>0.9996523903806902</v>
      </c>
      <c r="AE27" s="315">
        <f t="shared" si="87"/>
        <v>1.1206842001950519</v>
      </c>
      <c r="AF27" s="315">
        <f t="shared" si="87"/>
        <v>1.1371121439037926</v>
      </c>
      <c r="AG27" s="315">
        <f t="shared" si="87"/>
        <v>0.81311498142185246</v>
      </c>
      <c r="AH27" s="315">
        <f t="shared" si="87"/>
        <v>1.0332342450503207</v>
      </c>
      <c r="AI27" s="315">
        <f t="shared" si="87"/>
        <v>0.83623610807906212</v>
      </c>
      <c r="AJ27" s="315">
        <f t="shared" si="87"/>
        <v>0</v>
      </c>
      <c r="AK27" s="295">
        <f t="shared" si="87"/>
        <v>0.90816119274092355</v>
      </c>
      <c r="AL27" s="315">
        <f t="shared" si="87"/>
        <v>1.0596421590091307</v>
      </c>
      <c r="AM27" s="295">
        <f t="shared" si="87"/>
        <v>0.79357923291112509</v>
      </c>
      <c r="AN27" s="315">
        <f t="shared" si="87"/>
        <v>1.2548004222328006</v>
      </c>
      <c r="AO27" s="315">
        <f t="shared" si="87"/>
        <v>0.90893117193111661</v>
      </c>
      <c r="AP27" s="315">
        <f t="shared" si="87"/>
        <v>1.017171369452998</v>
      </c>
      <c r="AQ27" s="295">
        <f t="shared" si="87"/>
        <v>0.60153661593253538</v>
      </c>
      <c r="AR27" s="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</row>
    <row r="28" spans="2:65" x14ac:dyDescent="0.2">
      <c r="B28" s="301" t="s">
        <v>286</v>
      </c>
      <c r="C28" s="316">
        <f t="shared" ref="C28:U28" si="88">IFERROR(C18/C8,"")</f>
        <v>0.71836139154811651</v>
      </c>
      <c r="D28" s="317">
        <f t="shared" si="88"/>
        <v>0.68847120954298824</v>
      </c>
      <c r="E28" s="317">
        <f t="shared" si="88"/>
        <v>0.73257930149631101</v>
      </c>
      <c r="F28" s="317">
        <f t="shared" si="88"/>
        <v>0.64418707061012637</v>
      </c>
      <c r="G28" s="317">
        <f t="shared" si="88"/>
        <v>0.65428360685279796</v>
      </c>
      <c r="H28" s="317">
        <f t="shared" si="88"/>
        <v>0.59877123342522776</v>
      </c>
      <c r="I28" s="317">
        <f t="shared" si="88"/>
        <v>0.68668288511636222</v>
      </c>
      <c r="J28" s="317">
        <f t="shared" si="88"/>
        <v>0.62170809371793545</v>
      </c>
      <c r="K28" s="317">
        <f t="shared" si="88"/>
        <v>0.59275477025073042</v>
      </c>
      <c r="L28" s="317">
        <f t="shared" si="88"/>
        <v>0.56084219166188642</v>
      </c>
      <c r="M28" s="317">
        <f t="shared" si="88"/>
        <v>0.5408806603624321</v>
      </c>
      <c r="N28" s="317">
        <f t="shared" si="88"/>
        <v>0</v>
      </c>
      <c r="O28" s="318">
        <f t="shared" si="88"/>
        <v>0.57416080375009304</v>
      </c>
      <c r="P28" s="317">
        <f t="shared" si="88"/>
        <v>0.67196366977787969</v>
      </c>
      <c r="Q28" s="318">
        <f t="shared" si="88"/>
        <v>0.48452509679205497</v>
      </c>
      <c r="R28" s="317">
        <f t="shared" si="88"/>
        <v>0.71444528851281652</v>
      </c>
      <c r="S28" s="317">
        <f t="shared" si="88"/>
        <v>0.6325414093234083</v>
      </c>
      <c r="T28" s="317">
        <f t="shared" si="88"/>
        <v>0.63154665005869259</v>
      </c>
      <c r="U28" s="318">
        <f t="shared" si="88"/>
        <v>0.36111902828756498</v>
      </c>
      <c r="X28" s="301" t="s">
        <v>287</v>
      </c>
      <c r="Y28" s="316">
        <f t="shared" ref="Y28:AQ28" si="89">IFERROR(Y18/Y8,"")</f>
        <v>0.75851494444444445</v>
      </c>
      <c r="Z28" s="317">
        <f t="shared" si="89"/>
        <v>0.78536229190536921</v>
      </c>
      <c r="AA28" s="317">
        <f t="shared" si="89"/>
        <v>0.76739078458464627</v>
      </c>
      <c r="AB28" s="317">
        <f t="shared" si="89"/>
        <v>0.62275930711091765</v>
      </c>
      <c r="AC28" s="317">
        <f t="shared" si="89"/>
        <v>0.62674034872445761</v>
      </c>
      <c r="AD28" s="317">
        <f t="shared" si="89"/>
        <v>0.6523185457231625</v>
      </c>
      <c r="AE28" s="317">
        <f t="shared" si="89"/>
        <v>0.65374730984222074</v>
      </c>
      <c r="AF28" s="317">
        <f t="shared" si="89"/>
        <v>0.58198129999999748</v>
      </c>
      <c r="AG28" s="317">
        <f t="shared" si="89"/>
        <v>0.53534212854417496</v>
      </c>
      <c r="AH28" s="317">
        <f t="shared" si="89"/>
        <v>0.52927012940273388</v>
      </c>
      <c r="AI28" s="317">
        <f t="shared" si="89"/>
        <v>0.52084312612609185</v>
      </c>
      <c r="AJ28" s="317">
        <f t="shared" si="89"/>
        <v>0</v>
      </c>
      <c r="AK28" s="318">
        <f t="shared" si="89"/>
        <v>0.56993647846153406</v>
      </c>
      <c r="AL28" s="317">
        <f t="shared" si="89"/>
        <v>0.6982975626043364</v>
      </c>
      <c r="AM28" s="318">
        <f t="shared" si="89"/>
        <v>0.46025275606276267</v>
      </c>
      <c r="AN28" s="317">
        <f t="shared" si="89"/>
        <v>0.76941238181817684</v>
      </c>
      <c r="AO28" s="317">
        <f t="shared" si="89"/>
        <v>0.63331724856229665</v>
      </c>
      <c r="AP28" s="317">
        <f t="shared" si="89"/>
        <v>0.58738249271074428</v>
      </c>
      <c r="AQ28" s="318">
        <f t="shared" si="89"/>
        <v>0.3466571202522426</v>
      </c>
      <c r="AR28" s="7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8F44-EB49-492E-A915-ACE207F91938}">
  <sheetPr>
    <tabColor theme="7" tint="0.59999389629810485"/>
  </sheetPr>
  <dimension ref="A1:W77"/>
  <sheetViews>
    <sheetView topLeftCell="A28" workbookViewId="0">
      <selection activeCell="G53" sqref="G53"/>
    </sheetView>
  </sheetViews>
  <sheetFormatPr defaultRowHeight="16.5" x14ac:dyDescent="0.2"/>
  <cols>
    <col min="1" max="1" width="13" style="1" customWidth="1"/>
    <col min="2" max="2" width="10.125" style="1" customWidth="1"/>
    <col min="3" max="3" width="11.25" style="1" customWidth="1"/>
    <col min="4" max="6" width="12.875" style="1" customWidth="1"/>
    <col min="7" max="7" width="13" style="1" customWidth="1"/>
    <col min="8" max="8" width="13.125" style="1" customWidth="1"/>
    <col min="9" max="9" width="14.5" style="1" bestFit="1" customWidth="1"/>
    <col min="10" max="11" width="9" style="1"/>
    <col min="12" max="12" width="10.125" style="1" customWidth="1"/>
    <col min="13" max="16384" width="9" style="1"/>
  </cols>
  <sheetData>
    <row r="1" spans="1:14" ht="21" x14ac:dyDescent="0.2">
      <c r="A1" s="4" t="s">
        <v>0</v>
      </c>
    </row>
    <row r="2" spans="1:14" x14ac:dyDescent="0.2">
      <c r="A2" s="1" t="s">
        <v>1</v>
      </c>
    </row>
    <row r="5" spans="1:14" x14ac:dyDescent="0.2">
      <c r="B5" s="1" t="s">
        <v>12</v>
      </c>
      <c r="C5" s="207" t="s">
        <v>16</v>
      </c>
      <c r="D5" s="3" t="s">
        <v>18</v>
      </c>
      <c r="E5" s="207" t="s">
        <v>19</v>
      </c>
      <c r="F5" s="3" t="s">
        <v>20</v>
      </c>
      <c r="G5" s="3" t="s">
        <v>218</v>
      </c>
      <c r="H5" s="3" t="s">
        <v>219</v>
      </c>
      <c r="I5" s="3" t="s">
        <v>220</v>
      </c>
    </row>
    <row r="6" spans="1:14" x14ac:dyDescent="0.2">
      <c r="A6" s="1" t="s">
        <v>213</v>
      </c>
      <c r="B6" s="1" t="s">
        <v>217</v>
      </c>
      <c r="D6" s="7">
        <f>SUM(C16:N16)</f>
        <v>228531405.95332646</v>
      </c>
      <c r="F6" s="7"/>
      <c r="G6" s="8">
        <f>D6/D7-1</f>
        <v>-0.37391558079786846</v>
      </c>
      <c r="H6" s="8">
        <f>D6/F7-1</f>
        <v>-0.23627938948305605</v>
      </c>
      <c r="I6" s="1" t="s">
        <v>223</v>
      </c>
    </row>
    <row r="7" spans="1:14" x14ac:dyDescent="0.2">
      <c r="B7" s="1" t="s">
        <v>11</v>
      </c>
      <c r="C7" s="208">
        <v>1794429524.7016115</v>
      </c>
      <c r="D7" s="7">
        <f>SUM(C17:N17)</f>
        <v>365016919.35500002</v>
      </c>
      <c r="E7" s="208">
        <v>1307409282.7310019</v>
      </c>
      <c r="F7" s="7">
        <f>SUM(C24:N24)</f>
        <v>299234304.80505049</v>
      </c>
      <c r="G7" s="8">
        <f>D7/D8-1</f>
        <v>-0.3951909930877725</v>
      </c>
      <c r="H7" s="8">
        <f>D7/F8-1</f>
        <v>-0.1014619048333204</v>
      </c>
      <c r="I7" s="1" t="s">
        <v>226</v>
      </c>
    </row>
    <row r="8" spans="1:14" x14ac:dyDescent="0.2">
      <c r="B8" s="1" t="s">
        <v>13</v>
      </c>
      <c r="C8" s="208">
        <v>2810184090.6661868</v>
      </c>
      <c r="D8" s="7">
        <f>SUM(C18:N18)</f>
        <v>603524278.21560681</v>
      </c>
      <c r="E8" s="208">
        <v>1923565238.4999998</v>
      </c>
      <c r="F8" s="7">
        <f>SUM(C25:N25)</f>
        <v>406234216.80000007</v>
      </c>
      <c r="G8" s="53">
        <f>D8/D9-1</f>
        <v>-0.32642379663436738</v>
      </c>
      <c r="H8" s="8" t="s">
        <v>222</v>
      </c>
      <c r="I8" s="1" t="s">
        <v>221</v>
      </c>
    </row>
    <row r="9" spans="1:14" x14ac:dyDescent="0.2">
      <c r="B9" s="54" t="s">
        <v>14</v>
      </c>
      <c r="C9" s="208">
        <v>4103566289.0716805</v>
      </c>
      <c r="D9" s="55">
        <f>SUM(C19:N19)</f>
        <v>896000000</v>
      </c>
      <c r="E9" s="208">
        <v>2289870000</v>
      </c>
      <c r="F9" s="55">
        <v>489840000</v>
      </c>
      <c r="G9" s="53">
        <f>D9/D10-1</f>
        <v>-8.892443258600069E-2</v>
      </c>
      <c r="H9" s="8">
        <f t="shared" ref="H9" si="0">D9/F10-1</f>
        <v>0.17163405792235276</v>
      </c>
      <c r="I9" s="256">
        <f>F8/D8</f>
        <v>0.67310335551219436</v>
      </c>
      <c r="J9" s="257" t="s">
        <v>249</v>
      </c>
    </row>
    <row r="10" spans="1:14" x14ac:dyDescent="0.2">
      <c r="B10" s="1" t="s">
        <v>15</v>
      </c>
      <c r="C10" s="208">
        <v>4176781427</v>
      </c>
      <c r="D10" s="7">
        <f>SUM(C20:N20)</f>
        <v>983453000.00000012</v>
      </c>
      <c r="E10" s="208">
        <v>3449498000</v>
      </c>
      <c r="F10" s="7">
        <f>SUM(C26:N26)</f>
        <v>764743901</v>
      </c>
      <c r="G10" s="8"/>
      <c r="H10" s="8"/>
    </row>
    <row r="11" spans="1:14" x14ac:dyDescent="0.2">
      <c r="B11" s="1" t="s">
        <v>166</v>
      </c>
      <c r="C11" s="208"/>
      <c r="D11" s="7"/>
      <c r="E11" s="208"/>
      <c r="F11" s="7"/>
      <c r="G11" s="8"/>
      <c r="H11" s="8"/>
    </row>
    <row r="12" spans="1:14" x14ac:dyDescent="0.2">
      <c r="A12" s="1" t="s">
        <v>17</v>
      </c>
      <c r="B12" s="1" t="s">
        <v>11</v>
      </c>
      <c r="C12" s="208">
        <v>134909090.90909106</v>
      </c>
      <c r="D12" s="7">
        <v>14000000</v>
      </c>
      <c r="E12" s="208">
        <v>127609472.5</v>
      </c>
      <c r="F12" s="7">
        <v>15857979</v>
      </c>
      <c r="G12" s="8">
        <f t="shared" ref="G12" si="1">D12/D13-1</f>
        <v>-7.6224100620501778E-2</v>
      </c>
      <c r="H12" s="8">
        <f t="shared" ref="H12" si="2">F12/F13-1</f>
        <v>0.17248220978808781</v>
      </c>
    </row>
    <row r="13" spans="1:14" x14ac:dyDescent="0.2">
      <c r="B13" s="1" t="s">
        <v>13</v>
      </c>
      <c r="C13" s="208">
        <v>192558492.13175723</v>
      </c>
      <c r="D13" s="7">
        <v>15155190.787510069</v>
      </c>
      <c r="E13" s="208">
        <v>103472155</v>
      </c>
      <c r="F13" s="7">
        <v>13525134</v>
      </c>
      <c r="G13" s="8"/>
      <c r="H13" s="8"/>
    </row>
    <row r="14" spans="1:14" x14ac:dyDescent="0.2">
      <c r="A14" s="3" t="s">
        <v>214</v>
      </c>
    </row>
    <row r="15" spans="1:14" x14ac:dyDescent="0.2">
      <c r="A15" s="57" t="s">
        <v>57</v>
      </c>
      <c r="B15" s="57" t="s">
        <v>58</v>
      </c>
      <c r="C15" s="57" t="s">
        <v>59</v>
      </c>
      <c r="D15" s="57" t="s">
        <v>60</v>
      </c>
      <c r="E15" s="57" t="s">
        <v>61</v>
      </c>
      <c r="F15" s="57" t="s">
        <v>62</v>
      </c>
      <c r="G15" s="57" t="s">
        <v>63</v>
      </c>
      <c r="H15" s="57" t="s">
        <v>64</v>
      </c>
      <c r="I15" s="57" t="s">
        <v>65</v>
      </c>
      <c r="J15" s="57" t="s">
        <v>66</v>
      </c>
      <c r="K15" s="57" t="s">
        <v>67</v>
      </c>
      <c r="L15" s="57" t="s">
        <v>68</v>
      </c>
      <c r="M15" s="57" t="s">
        <v>69</v>
      </c>
      <c r="N15" s="57" t="s">
        <v>211</v>
      </c>
    </row>
    <row r="16" spans="1:14" x14ac:dyDescent="0.2">
      <c r="A16" s="1" t="s">
        <v>210</v>
      </c>
      <c r="B16" s="201">
        <v>34045559.21332109</v>
      </c>
      <c r="C16" s="7">
        <v>26173804.893045336</v>
      </c>
      <c r="D16" s="7">
        <v>17686049.571711801</v>
      </c>
      <c r="E16" s="7">
        <v>19048959.626740485</v>
      </c>
      <c r="F16" s="7">
        <v>19350240.428988121</v>
      </c>
      <c r="G16" s="7">
        <v>17292098.475927442</v>
      </c>
      <c r="H16" s="7">
        <v>17358990.375158545</v>
      </c>
      <c r="I16" s="7">
        <v>16452785.554703865</v>
      </c>
      <c r="J16" s="7">
        <v>16855073.934534449</v>
      </c>
      <c r="K16" s="7">
        <v>17312644.877152693</v>
      </c>
      <c r="L16" s="7">
        <v>17776476.562620793</v>
      </c>
      <c r="M16" s="7">
        <v>21990710.90044868</v>
      </c>
      <c r="N16" s="7">
        <v>21233570.752294272</v>
      </c>
    </row>
    <row r="17" spans="1:23" x14ac:dyDescent="0.2">
      <c r="A17" s="1" t="s">
        <v>212</v>
      </c>
      <c r="B17" s="201">
        <v>56333846.003553793</v>
      </c>
      <c r="C17" s="7">
        <v>44747856.744550735</v>
      </c>
      <c r="D17" s="7">
        <v>29199126.457360774</v>
      </c>
      <c r="E17" s="7">
        <v>29378414.881233871</v>
      </c>
      <c r="F17" s="7">
        <v>32095024.755253106</v>
      </c>
      <c r="G17" s="7">
        <v>28744117.23990212</v>
      </c>
      <c r="H17" s="7">
        <v>27194924.598316804</v>
      </c>
      <c r="I17" s="7">
        <v>24260261.245337717</v>
      </c>
      <c r="J17" s="7">
        <v>25705710.855425131</v>
      </c>
      <c r="K17" s="7">
        <v>27796192.03329967</v>
      </c>
      <c r="L17" s="7">
        <v>26391657.245317038</v>
      </c>
      <c r="M17" s="7">
        <v>35458074.08568199</v>
      </c>
      <c r="N17" s="7">
        <v>34045559.21332109</v>
      </c>
    </row>
    <row r="18" spans="1:23" x14ac:dyDescent="0.2">
      <c r="A18" s="1" t="s">
        <v>230</v>
      </c>
      <c r="B18" s="7">
        <v>86894555.956678703</v>
      </c>
      <c r="C18" s="7">
        <v>47378544.952916108</v>
      </c>
      <c r="D18" s="7">
        <v>45126192.567257151</v>
      </c>
      <c r="E18" s="7">
        <v>54136311.356602691</v>
      </c>
      <c r="F18" s="7">
        <v>56001173.607802302</v>
      </c>
      <c r="G18" s="7">
        <v>50966188.203386635</v>
      </c>
      <c r="H18" s="201">
        <v>49063520.825464815</v>
      </c>
      <c r="I18" s="201">
        <v>45903818.627429612</v>
      </c>
      <c r="J18" s="201">
        <v>46153688.100397699</v>
      </c>
      <c r="K18" s="201">
        <v>47003226.90764752</v>
      </c>
      <c r="L18" s="201">
        <v>47193679.597559877</v>
      </c>
      <c r="M18" s="201">
        <v>58264087.465588592</v>
      </c>
      <c r="N18" s="201">
        <v>56333846.003553793</v>
      </c>
    </row>
    <row r="19" spans="1:23" x14ac:dyDescent="0.2">
      <c r="A19" s="1" t="s">
        <v>231</v>
      </c>
      <c r="B19" s="7">
        <v>99574701.019409657</v>
      </c>
      <c r="C19" s="7">
        <v>88504000</v>
      </c>
      <c r="D19" s="7">
        <v>55315000</v>
      </c>
      <c r="E19" s="7">
        <v>73317281.588447645</v>
      </c>
      <c r="F19" s="7">
        <v>76937888.086642593</v>
      </c>
      <c r="G19" s="7">
        <v>76937888.086642593</v>
      </c>
      <c r="H19" s="7">
        <v>73317281.588447645</v>
      </c>
      <c r="I19" s="7">
        <v>66076068.592057757</v>
      </c>
      <c r="J19" s="7">
        <v>70601826.714801446</v>
      </c>
      <c r="K19" s="7">
        <v>66981220.216606498</v>
      </c>
      <c r="L19" s="7">
        <v>71506978.339350179</v>
      </c>
      <c r="M19" s="7">
        <v>89610010.830324903</v>
      </c>
      <c r="N19" s="7">
        <v>86894555.956678703</v>
      </c>
    </row>
    <row r="20" spans="1:23" x14ac:dyDescent="0.2">
      <c r="A20" s="1" t="s">
        <v>232</v>
      </c>
      <c r="B20" s="7">
        <v>105427338.4428191</v>
      </c>
      <c r="C20" s="7">
        <v>89580981</v>
      </c>
      <c r="D20" s="7">
        <v>59114094</v>
      </c>
      <c r="E20" s="7">
        <v>63618868.999999993</v>
      </c>
      <c r="F20" s="7">
        <v>84540808.14740251</v>
      </c>
      <c r="G20" s="7">
        <v>83124036.450063497</v>
      </c>
      <c r="H20" s="7">
        <v>79579593.147508383</v>
      </c>
      <c r="I20" s="7">
        <v>78427765.943643168</v>
      </c>
      <c r="J20" s="7">
        <v>78023283.56783317</v>
      </c>
      <c r="K20" s="7">
        <v>87858917.338018477</v>
      </c>
      <c r="L20" s="7">
        <v>82285395.547754154</v>
      </c>
      <c r="M20" s="7">
        <v>97724554.83836703</v>
      </c>
      <c r="N20" s="7">
        <v>99574701.019409657</v>
      </c>
    </row>
    <row r="21" spans="1:23" x14ac:dyDescent="0.2">
      <c r="A21" s="3" t="s">
        <v>91</v>
      </c>
    </row>
    <row r="22" spans="1:23" x14ac:dyDescent="0.2">
      <c r="A22" s="56" t="s">
        <v>73</v>
      </c>
      <c r="B22" s="56" t="s">
        <v>58</v>
      </c>
      <c r="C22" s="56" t="s">
        <v>59</v>
      </c>
      <c r="D22" s="56" t="s">
        <v>60</v>
      </c>
      <c r="E22" s="56" t="s">
        <v>61</v>
      </c>
      <c r="F22" s="56" t="s">
        <v>62</v>
      </c>
      <c r="G22" s="56" t="s">
        <v>63</v>
      </c>
      <c r="H22" s="56" t="s">
        <v>64</v>
      </c>
      <c r="I22" s="56" t="s">
        <v>65</v>
      </c>
      <c r="J22" s="56" t="s">
        <v>66</v>
      </c>
      <c r="K22" s="56" t="s">
        <v>67</v>
      </c>
      <c r="L22" s="56" t="s">
        <v>68</v>
      </c>
      <c r="M22" s="56" t="s">
        <v>69</v>
      </c>
      <c r="N22" s="56" t="s">
        <v>86</v>
      </c>
      <c r="O22" s="58"/>
      <c r="P22" s="58"/>
      <c r="Q22" s="58"/>
      <c r="R22" s="58"/>
      <c r="S22" s="58"/>
      <c r="T22" s="58"/>
      <c r="U22" s="58"/>
      <c r="V22" s="58"/>
      <c r="W22" s="58"/>
    </row>
    <row r="23" spans="1:23" x14ac:dyDescent="0.2">
      <c r="A23" s="1" t="s">
        <v>210</v>
      </c>
      <c r="B23" s="7">
        <v>27754348.505050506</v>
      </c>
      <c r="C23" s="7">
        <v>26173804.893045336</v>
      </c>
      <c r="D23" s="7">
        <v>17686049.571711801</v>
      </c>
      <c r="E23" s="7">
        <v>19048959.626740485</v>
      </c>
      <c r="F23" s="7">
        <v>19350240.428988121</v>
      </c>
      <c r="G23" s="7">
        <v>17292098.475927442</v>
      </c>
      <c r="H23" s="7">
        <v>17358990.375158545</v>
      </c>
      <c r="I23" s="7">
        <v>16452785.554703865</v>
      </c>
      <c r="J23" s="7">
        <v>16855073.934534449</v>
      </c>
      <c r="K23" s="7">
        <v>17312644.877152693</v>
      </c>
      <c r="L23" s="7">
        <v>17776476.562620793</v>
      </c>
      <c r="M23" s="7">
        <v>21990710.90044868</v>
      </c>
      <c r="N23" s="7">
        <v>21233570.752294272</v>
      </c>
    </row>
    <row r="24" spans="1:23" x14ac:dyDescent="0.2">
      <c r="A24" s="1" t="s">
        <v>206</v>
      </c>
      <c r="B24" s="7">
        <v>37653592.5</v>
      </c>
      <c r="C24" s="7">
        <v>34006763.700000003</v>
      </c>
      <c r="D24" s="7">
        <v>23684767.800000001</v>
      </c>
      <c r="E24" s="7">
        <v>25054033.5</v>
      </c>
      <c r="F24" s="7">
        <v>24919117.100000001</v>
      </c>
      <c r="G24" s="7">
        <v>22040447</v>
      </c>
      <c r="H24" s="7">
        <v>22879455.5</v>
      </c>
      <c r="I24" s="7">
        <v>21936037.300000001</v>
      </c>
      <c r="J24" s="7">
        <v>21669838.899999999</v>
      </c>
      <c r="K24" s="7">
        <v>22210990.5</v>
      </c>
      <c r="L24" s="7">
        <v>23889521</v>
      </c>
      <c r="M24" s="7">
        <v>29188984</v>
      </c>
      <c r="N24" s="7">
        <v>27754348.505050506</v>
      </c>
    </row>
    <row r="25" spans="1:23" x14ac:dyDescent="0.2">
      <c r="A25" s="1" t="s">
        <v>207</v>
      </c>
      <c r="B25" s="7">
        <v>52710000</v>
      </c>
      <c r="C25" s="7">
        <v>48124680.799999997</v>
      </c>
      <c r="D25" s="7">
        <v>30883669.800000001</v>
      </c>
      <c r="E25" s="7">
        <v>33760030.900000006</v>
      </c>
      <c r="F25" s="7">
        <v>34204404.5</v>
      </c>
      <c r="G25" s="7">
        <v>31976608.800000001</v>
      </c>
      <c r="H25" s="7">
        <v>31037673.800000001</v>
      </c>
      <c r="I25" s="7">
        <v>28669117.300000001</v>
      </c>
      <c r="J25" s="7">
        <v>30480858.199999999</v>
      </c>
      <c r="K25" s="7">
        <v>30993082.5</v>
      </c>
      <c r="L25" s="7">
        <v>30396484.100000001</v>
      </c>
      <c r="M25" s="7">
        <v>38054013.600000001</v>
      </c>
      <c r="N25" s="7">
        <v>37653592.5</v>
      </c>
    </row>
    <row r="26" spans="1:23" x14ac:dyDescent="0.2">
      <c r="A26" s="202" t="s">
        <v>208</v>
      </c>
      <c r="B26" s="7">
        <v>93174000</v>
      </c>
      <c r="C26" s="7">
        <v>91162158</v>
      </c>
      <c r="D26" s="7">
        <v>60438349</v>
      </c>
      <c r="E26" s="7">
        <v>65649438</v>
      </c>
      <c r="F26" s="7">
        <v>59056154</v>
      </c>
      <c r="G26" s="7">
        <v>57947230</v>
      </c>
      <c r="H26" s="7">
        <v>59862585.999999993</v>
      </c>
      <c r="I26" s="7">
        <v>54090581</v>
      </c>
      <c r="J26" s="7">
        <v>57695733.000000007</v>
      </c>
      <c r="K26" s="7">
        <v>57445917</v>
      </c>
      <c r="L26" s="7">
        <v>58112582</v>
      </c>
      <c r="M26" s="7">
        <v>73618329</v>
      </c>
      <c r="N26" s="7">
        <v>69664844</v>
      </c>
    </row>
    <row r="27" spans="1:23" x14ac:dyDescent="0.2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23" x14ac:dyDescent="0.2">
      <c r="A28" s="3" t="s">
        <v>265</v>
      </c>
    </row>
    <row r="29" spans="1:23" x14ac:dyDescent="0.2">
      <c r="A29" s="57" t="s">
        <v>57</v>
      </c>
      <c r="B29" s="57" t="s">
        <v>58</v>
      </c>
      <c r="C29" s="57" t="s">
        <v>59</v>
      </c>
      <c r="D29" s="57" t="s">
        <v>60</v>
      </c>
      <c r="E29" s="57" t="s">
        <v>61</v>
      </c>
      <c r="F29" s="57" t="s">
        <v>62</v>
      </c>
      <c r="G29" s="57" t="s">
        <v>63</v>
      </c>
      <c r="H29" s="57" t="s">
        <v>64</v>
      </c>
      <c r="I29" s="57" t="s">
        <v>65</v>
      </c>
      <c r="J29" s="57" t="s">
        <v>66</v>
      </c>
      <c r="K29" s="57" t="s">
        <v>67</v>
      </c>
      <c r="L29" s="57" t="s">
        <v>68</v>
      </c>
      <c r="M29" s="57" t="s">
        <v>69</v>
      </c>
      <c r="N29" s="57" t="s">
        <v>86</v>
      </c>
    </row>
    <row r="30" spans="1:23" x14ac:dyDescent="0.2">
      <c r="A30" s="1" t="s">
        <v>74</v>
      </c>
      <c r="B30" s="52">
        <f>B17/B18-1</f>
        <v>-0.3516987873021753</v>
      </c>
      <c r="C30" s="52">
        <f t="shared" ref="C30:M30" si="3">C17/C18-1</f>
        <v>-5.5524883910633038E-2</v>
      </c>
      <c r="D30" s="52">
        <f t="shared" si="3"/>
        <v>-0.35294504596545118</v>
      </c>
      <c r="E30" s="52">
        <f t="shared" si="3"/>
        <v>-0.45732514563627069</v>
      </c>
      <c r="F30" s="52">
        <f t="shared" si="3"/>
        <v>-0.42688656884180898</v>
      </c>
      <c r="G30" s="52">
        <f t="shared" si="3"/>
        <v>-0.43601594992359838</v>
      </c>
      <c r="H30" s="52">
        <f t="shared" si="3"/>
        <v>-0.44572007591835583</v>
      </c>
      <c r="I30" s="52">
        <f t="shared" si="3"/>
        <v>-0.47149797183014508</v>
      </c>
      <c r="J30" s="52">
        <f t="shared" si="3"/>
        <v>-0.44304102416457525</v>
      </c>
      <c r="K30" s="52">
        <f t="shared" si="3"/>
        <v>-0.40863226076128889</v>
      </c>
      <c r="L30" s="52">
        <f t="shared" si="3"/>
        <v>-0.44077983597868042</v>
      </c>
      <c r="M30" s="52">
        <f t="shared" si="3"/>
        <v>-0.39142487889089628</v>
      </c>
      <c r="N30" s="52">
        <f t="shared" ref="N30" si="4">N17/N18-1</f>
        <v>-0.3956464607232153</v>
      </c>
    </row>
    <row r="31" spans="1:23" x14ac:dyDescent="0.2">
      <c r="A31" s="1" t="s">
        <v>70</v>
      </c>
      <c r="B31" s="52">
        <f>B18/B19-1</f>
        <v>-0.12734303927519974</v>
      </c>
      <c r="C31" s="52">
        <f t="shared" ref="C31:M31" si="5">C18/C19-1</f>
        <v>-0.46467340512388022</v>
      </c>
      <c r="D31" s="52">
        <f t="shared" si="5"/>
        <v>-0.18419610291499322</v>
      </c>
      <c r="E31" s="52">
        <f t="shared" si="5"/>
        <v>-0.26161594942258792</v>
      </c>
      <c r="F31" s="52">
        <f t="shared" si="5"/>
        <v>-0.27212489190322831</v>
      </c>
      <c r="G31" s="52">
        <f t="shared" si="5"/>
        <v>-0.33756710158210046</v>
      </c>
      <c r="H31" s="52">
        <f t="shared" si="5"/>
        <v>-0.33080551048150719</v>
      </c>
      <c r="I31" s="52">
        <f t="shared" si="5"/>
        <v>-0.30528828961008769</v>
      </c>
      <c r="J31" s="52">
        <f t="shared" si="5"/>
        <v>-0.34628195546785012</v>
      </c>
      <c r="K31" s="52">
        <f t="shared" si="5"/>
        <v>-0.29826260621041778</v>
      </c>
      <c r="L31" s="52">
        <f t="shared" si="5"/>
        <v>-0.34001295127318687</v>
      </c>
      <c r="M31" s="52">
        <f t="shared" si="5"/>
        <v>-0.34980381180947862</v>
      </c>
      <c r="N31" s="52">
        <f t="shared" ref="N31" si="6">N18/N19-1</f>
        <v>-0.3516987873021753</v>
      </c>
    </row>
    <row r="32" spans="1:23" x14ac:dyDescent="0.2">
      <c r="A32" s="1" t="s">
        <v>71</v>
      </c>
      <c r="B32" s="52">
        <f>B19/B20-1</f>
        <v>-5.5513470318552693E-2</v>
      </c>
      <c r="C32" s="52">
        <f t="shared" ref="C32:M32" si="7">C19/C20-1</f>
        <v>-1.2022429180586935E-2</v>
      </c>
      <c r="D32" s="52">
        <f t="shared" si="7"/>
        <v>-6.4267144143323907E-2</v>
      </c>
      <c r="E32" s="52">
        <f t="shared" si="7"/>
        <v>0.15244553606332811</v>
      </c>
      <c r="F32" s="52">
        <f t="shared" si="7"/>
        <v>-8.9931953897385508E-2</v>
      </c>
      <c r="G32" s="52">
        <f t="shared" si="7"/>
        <v>-7.442069258916717E-2</v>
      </c>
      <c r="H32" s="52">
        <f t="shared" si="7"/>
        <v>-7.8692429948126863E-2</v>
      </c>
      <c r="I32" s="52">
        <f t="shared" si="7"/>
        <v>-0.15749138335090562</v>
      </c>
      <c r="J32" s="52">
        <f t="shared" si="7"/>
        <v>-9.5118489169704556E-2</v>
      </c>
      <c r="K32" s="52">
        <f t="shared" si="7"/>
        <v>-0.23762752551445043</v>
      </c>
      <c r="L32" s="52">
        <f t="shared" si="7"/>
        <v>-0.13098821651952497</v>
      </c>
      <c r="M32" s="52">
        <f t="shared" si="7"/>
        <v>-8.3034852616758359E-2</v>
      </c>
      <c r="N32" s="52">
        <f t="shared" ref="N32" si="8">N19/N20-1</f>
        <v>-0.12734303927519974</v>
      </c>
    </row>
    <row r="33" spans="1:23" x14ac:dyDescent="0.2">
      <c r="A33" s="3" t="s">
        <v>96</v>
      </c>
      <c r="P33" s="1" t="s">
        <v>229</v>
      </c>
      <c r="Q33" s="2"/>
    </row>
    <row r="34" spans="1:23" x14ac:dyDescent="0.2">
      <c r="A34" s="56" t="s">
        <v>73</v>
      </c>
      <c r="B34" s="56" t="s">
        <v>58</v>
      </c>
      <c r="C34" s="56" t="s">
        <v>59</v>
      </c>
      <c r="D34" s="56" t="s">
        <v>60</v>
      </c>
      <c r="E34" s="56" t="s">
        <v>61</v>
      </c>
      <c r="F34" s="56" t="s">
        <v>62</v>
      </c>
      <c r="G34" s="56" t="s">
        <v>63</v>
      </c>
      <c r="H34" s="56" t="s">
        <v>64</v>
      </c>
      <c r="I34" s="56" t="s">
        <v>65</v>
      </c>
      <c r="J34" s="56" t="s">
        <v>66</v>
      </c>
      <c r="K34" s="56" t="s">
        <v>67</v>
      </c>
      <c r="L34" s="56" t="s">
        <v>68</v>
      </c>
      <c r="M34" s="56" t="s">
        <v>69</v>
      </c>
      <c r="N34" s="56" t="s">
        <v>86</v>
      </c>
      <c r="P34" s="1" t="s">
        <v>8</v>
      </c>
      <c r="Q34" s="2"/>
      <c r="R34" s="58"/>
      <c r="S34" s="58"/>
      <c r="T34" s="58"/>
      <c r="U34" s="58"/>
      <c r="V34" s="58"/>
      <c r="W34" s="58"/>
    </row>
    <row r="35" spans="1:23" x14ac:dyDescent="0.2">
      <c r="A35" s="1" t="s">
        <v>97</v>
      </c>
      <c r="B35" s="52">
        <f>B23/B24-1</f>
        <v>-0.26290304158758537</v>
      </c>
      <c r="C35" s="52">
        <f t="shared" ref="C35:N35" si="9">C23/C24-1</f>
        <v>-0.23033532023379999</v>
      </c>
      <c r="D35" s="52">
        <f t="shared" si="9"/>
        <v>-0.25327325473244455</v>
      </c>
      <c r="E35" s="52">
        <f t="shared" si="9"/>
        <v>-0.23968491433762606</v>
      </c>
      <c r="F35" s="52">
        <f t="shared" si="9"/>
        <v>-0.22347808907771771</v>
      </c>
      <c r="G35" s="52">
        <f t="shared" si="9"/>
        <v>-0.21543794116664505</v>
      </c>
      <c r="H35" s="52">
        <f t="shared" si="9"/>
        <v>-0.24128481225619447</v>
      </c>
      <c r="I35" s="52">
        <f t="shared" si="9"/>
        <v>-0.24996546414954057</v>
      </c>
      <c r="J35" s="52">
        <f t="shared" si="9"/>
        <v>-0.22218739085621675</v>
      </c>
      <c r="K35" s="52">
        <f t="shared" si="9"/>
        <v>-0.22053701850204777</v>
      </c>
      <c r="L35" s="52">
        <f t="shared" si="9"/>
        <v>-0.25588811250670151</v>
      </c>
      <c r="M35" s="52">
        <f t="shared" si="9"/>
        <v>-0.2466092379080862</v>
      </c>
      <c r="N35" s="52">
        <f t="shared" si="9"/>
        <v>-0.23494616533944712</v>
      </c>
      <c r="P35" s="1" t="s">
        <v>9</v>
      </c>
      <c r="Q35" s="2"/>
    </row>
    <row r="36" spans="1:23" x14ac:dyDescent="0.2">
      <c r="A36" s="1" t="s">
        <v>70</v>
      </c>
      <c r="B36" s="52">
        <f t="shared" ref="B36:M36" si="10">B24/B25-1</f>
        <v>-0.28564612976664772</v>
      </c>
      <c r="C36" s="52">
        <f t="shared" si="10"/>
        <v>-0.29336126214888048</v>
      </c>
      <c r="D36" s="52">
        <f t="shared" si="10"/>
        <v>-0.23309736331917397</v>
      </c>
      <c r="E36" s="52">
        <f t="shared" si="10"/>
        <v>-0.2578788338727499</v>
      </c>
      <c r="F36" s="52">
        <f t="shared" si="10"/>
        <v>-0.27146467058065571</v>
      </c>
      <c r="G36" s="52">
        <f t="shared" si="10"/>
        <v>-0.31073219371530103</v>
      </c>
      <c r="H36" s="52">
        <f t="shared" si="10"/>
        <v>-0.26284889623396968</v>
      </c>
      <c r="I36" s="52">
        <f t="shared" si="10"/>
        <v>-0.23485480663891944</v>
      </c>
      <c r="J36" s="52">
        <f t="shared" si="10"/>
        <v>-0.28906729732432535</v>
      </c>
      <c r="K36" s="52">
        <f t="shared" si="10"/>
        <v>-0.28335651995892952</v>
      </c>
      <c r="L36" s="52">
        <f t="shared" si="10"/>
        <v>-0.21406959695052363</v>
      </c>
      <c r="M36" s="52">
        <f t="shared" si="10"/>
        <v>-0.23295912208324854</v>
      </c>
      <c r="N36" s="52">
        <f t="shared" ref="N36" si="11">N24/N25-1</f>
        <v>-0.26290304158758537</v>
      </c>
      <c r="P36" s="1" t="s">
        <v>200</v>
      </c>
      <c r="Q36" s="2"/>
    </row>
    <row r="37" spans="1:23" x14ac:dyDescent="0.2">
      <c r="A37" s="1" t="s">
        <v>71</v>
      </c>
      <c r="B37" s="52">
        <f t="shared" ref="B37:M37" si="12">B25/B26-1</f>
        <v>-0.43428424238521479</v>
      </c>
      <c r="C37" s="52">
        <f t="shared" si="12"/>
        <v>-0.47209805191316334</v>
      </c>
      <c r="D37" s="52">
        <f t="shared" si="12"/>
        <v>-0.48900540284447547</v>
      </c>
      <c r="E37" s="52">
        <f t="shared" si="12"/>
        <v>-0.48575293363516669</v>
      </c>
      <c r="F37" s="52">
        <f t="shared" si="12"/>
        <v>-0.42081557664591573</v>
      </c>
      <c r="G37" s="52">
        <f t="shared" si="12"/>
        <v>-0.44817709491894608</v>
      </c>
      <c r="H37" s="52">
        <f t="shared" si="12"/>
        <v>-0.48151799188895705</v>
      </c>
      <c r="I37" s="52">
        <f t="shared" si="12"/>
        <v>-0.46997949051425425</v>
      </c>
      <c r="J37" s="52">
        <f t="shared" si="12"/>
        <v>-0.47169649096927158</v>
      </c>
      <c r="K37" s="52">
        <f t="shared" si="12"/>
        <v>-0.46048241339763107</v>
      </c>
      <c r="L37" s="52">
        <f>L25/L26-1</f>
        <v>-0.47693798737078996</v>
      </c>
      <c r="M37" s="52">
        <f t="shared" si="12"/>
        <v>-0.48309050046490454</v>
      </c>
      <c r="N37" s="52">
        <f t="shared" ref="N37" si="13">N25/N26-1</f>
        <v>-0.45950367017257654</v>
      </c>
      <c r="P37" s="1" t="s">
        <v>10</v>
      </c>
      <c r="Q37" s="2"/>
    </row>
    <row r="39" spans="1:23" x14ac:dyDescent="0.2">
      <c r="A39" s="1" t="s">
        <v>273</v>
      </c>
      <c r="E39" s="1" t="s">
        <v>95</v>
      </c>
      <c r="J39" s="1" t="s">
        <v>95</v>
      </c>
    </row>
    <row r="40" spans="1:23" x14ac:dyDescent="0.2">
      <c r="A40" s="56" t="s">
        <v>76</v>
      </c>
      <c r="B40" s="56" t="s">
        <v>78</v>
      </c>
      <c r="C40" s="1" t="s">
        <v>269</v>
      </c>
      <c r="E40" s="56" t="s">
        <v>73</v>
      </c>
      <c r="F40" s="56" t="s">
        <v>272</v>
      </c>
      <c r="G40" s="56" t="s">
        <v>70</v>
      </c>
      <c r="H40" s="56" t="s">
        <v>71</v>
      </c>
      <c r="I40" s="6"/>
      <c r="J40" s="56" t="s">
        <v>118</v>
      </c>
      <c r="K40" s="56" t="s">
        <v>119</v>
      </c>
      <c r="L40" s="56" t="s">
        <v>120</v>
      </c>
      <c r="M40" s="1" t="s">
        <v>270</v>
      </c>
    </row>
    <row r="41" spans="1:23" x14ac:dyDescent="0.2">
      <c r="A41" s="59">
        <v>44896</v>
      </c>
      <c r="B41" s="7">
        <v>52710000</v>
      </c>
      <c r="E41" s="6" t="s">
        <v>92</v>
      </c>
      <c r="F41" s="70">
        <v>27381363.198930193</v>
      </c>
      <c r="G41" s="70">
        <v>34006763.700000003</v>
      </c>
      <c r="H41" s="70">
        <v>48124680.799999997</v>
      </c>
      <c r="I41" s="6"/>
      <c r="J41" s="71">
        <f>G41/$G$53</f>
        <v>0.11364593949933388</v>
      </c>
      <c r="K41" s="71">
        <f>H41/$H$53</f>
        <v>0.11846535523050994</v>
      </c>
      <c r="L41" s="73">
        <f>J41*0.6+K41*0.4</f>
        <v>0.11557370579180432</v>
      </c>
      <c r="M41" s="275">
        <f>SUM(L41:L43)</f>
        <v>0.27695239394562565</v>
      </c>
    </row>
    <row r="42" spans="1:23" x14ac:dyDescent="0.2">
      <c r="A42" s="59">
        <v>44927</v>
      </c>
      <c r="B42" s="7">
        <v>48124680.799999997</v>
      </c>
      <c r="C42" s="7">
        <v>47445507</v>
      </c>
      <c r="E42" s="6" t="s">
        <v>93</v>
      </c>
      <c r="F42" s="70">
        <v>18305519.421595499</v>
      </c>
      <c r="G42" s="70">
        <v>23684767.800000001</v>
      </c>
      <c r="H42" s="70">
        <v>30883669.800000001</v>
      </c>
      <c r="I42" s="6"/>
      <c r="J42" s="71">
        <f t="shared" ref="J42:J51" si="14">G42/$G$53</f>
        <v>7.9151245093474487E-2</v>
      </c>
      <c r="K42" s="71">
        <f t="shared" ref="K42:K52" si="15">H42/$H$53</f>
        <v>7.602429466251695E-2</v>
      </c>
      <c r="L42" s="73">
        <f t="shared" ref="L42:L52" si="16">J42*0.6+K42*0.4</f>
        <v>7.790046492109147E-2</v>
      </c>
    </row>
    <row r="43" spans="1:23" x14ac:dyDescent="0.2">
      <c r="A43" s="59">
        <v>44958</v>
      </c>
      <c r="B43" s="7">
        <v>30883669.800000001</v>
      </c>
      <c r="C43" s="7">
        <v>30961024</v>
      </c>
      <c r="E43" s="6" t="s">
        <v>61</v>
      </c>
      <c r="F43" s="70">
        <v>19680589.950870998</v>
      </c>
      <c r="G43" s="70">
        <v>25054033.5</v>
      </c>
      <c r="H43" s="70">
        <v>33760030.900000006</v>
      </c>
      <c r="I43" s="6"/>
      <c r="J43" s="71">
        <f t="shared" si="14"/>
        <v>8.3727143237546126E-2</v>
      </c>
      <c r="K43" s="71">
        <f t="shared" si="15"/>
        <v>8.3104843225505473E-2</v>
      </c>
      <c r="L43" s="73">
        <f t="shared" si="16"/>
        <v>8.3478223232729853E-2</v>
      </c>
    </row>
    <row r="44" spans="1:23" x14ac:dyDescent="0.2">
      <c r="A44" s="59">
        <v>44986</v>
      </c>
      <c r="B44" s="7">
        <v>33760030.900000006</v>
      </c>
      <c r="C44" s="7">
        <v>34659250</v>
      </c>
      <c r="E44" s="6" t="s">
        <v>62</v>
      </c>
      <c r="F44" s="70">
        <v>19756443.97325892</v>
      </c>
      <c r="G44" s="70">
        <v>24919117.100000001</v>
      </c>
      <c r="H44" s="70">
        <v>34204404.5</v>
      </c>
      <c r="I44" s="6"/>
      <c r="J44" s="71">
        <f t="shared" si="14"/>
        <v>8.3276271135539315E-2</v>
      </c>
      <c r="K44" s="71">
        <f t="shared" si="15"/>
        <v>8.4198728431681413E-2</v>
      </c>
      <c r="L44" s="73">
        <f t="shared" si="16"/>
        <v>8.3645254053996143E-2</v>
      </c>
      <c r="M44" s="275">
        <f>SUM(L44:L46)</f>
        <v>0.23576218818015629</v>
      </c>
    </row>
    <row r="45" spans="1:23" x14ac:dyDescent="0.2">
      <c r="A45" s="59">
        <v>45017</v>
      </c>
      <c r="B45" s="7">
        <v>34204404.5</v>
      </c>
      <c r="C45" s="7">
        <v>35372106</v>
      </c>
      <c r="E45" s="6" t="s">
        <v>63</v>
      </c>
      <c r="F45" s="70">
        <v>17974661.223505698</v>
      </c>
      <c r="G45" s="70">
        <v>22040447</v>
      </c>
      <c r="H45" s="70">
        <v>31976608.800000001</v>
      </c>
      <c r="I45" s="6"/>
      <c r="J45" s="71">
        <f t="shared" si="14"/>
        <v>7.3656150535144127E-2</v>
      </c>
      <c r="K45" s="71">
        <f t="shared" si="15"/>
        <v>7.8714710572356683E-2</v>
      </c>
      <c r="L45" s="73">
        <f t="shared" si="16"/>
        <v>7.5679574550029161E-2</v>
      </c>
    </row>
    <row r="46" spans="1:23" x14ac:dyDescent="0.2">
      <c r="A46" s="59">
        <v>45047</v>
      </c>
      <c r="B46" s="7">
        <v>31976608.800000001</v>
      </c>
      <c r="C46" s="7">
        <v>32771260</v>
      </c>
      <c r="E46" s="6" t="s">
        <v>64</v>
      </c>
      <c r="F46" s="70">
        <v>18032764.091489784</v>
      </c>
      <c r="G46" s="70">
        <v>22879455.5</v>
      </c>
      <c r="H46" s="70">
        <v>31037673.800000001</v>
      </c>
      <c r="I46" s="6"/>
      <c r="J46" s="71">
        <f t="shared" si="14"/>
        <v>7.6460001853416643E-2</v>
      </c>
      <c r="K46" s="71">
        <f t="shared" si="15"/>
        <v>7.6403396160202516E-2</v>
      </c>
      <c r="L46" s="73">
        <f t="shared" si="16"/>
        <v>7.6437359576130987E-2</v>
      </c>
    </row>
    <row r="47" spans="1:23" x14ac:dyDescent="0.2">
      <c r="A47" s="59">
        <v>45078</v>
      </c>
      <c r="B47" s="7">
        <v>31037673.800000001</v>
      </c>
      <c r="C47" s="7">
        <v>31097230</v>
      </c>
      <c r="E47" s="6" t="s">
        <v>65</v>
      </c>
      <c r="F47" s="70">
        <v>16973036.142209504</v>
      </c>
      <c r="G47" s="70">
        <v>21936037.300000001</v>
      </c>
      <c r="H47" s="70">
        <v>28669117.300000001</v>
      </c>
      <c r="I47" s="6"/>
      <c r="J47" s="71">
        <f t="shared" si="14"/>
        <v>7.330722763986304E-2</v>
      </c>
      <c r="K47" s="71">
        <f t="shared" si="15"/>
        <v>7.0572876715883762E-2</v>
      </c>
      <c r="L47" s="73">
        <f t="shared" si="16"/>
        <v>7.2213487270271326E-2</v>
      </c>
      <c r="M47" s="275">
        <f>SUM(L47:L49)</f>
        <v>0.22073025427786508</v>
      </c>
    </row>
    <row r="48" spans="1:23" x14ac:dyDescent="0.2">
      <c r="A48" s="59">
        <v>45108</v>
      </c>
      <c r="B48" s="7">
        <v>28669117.300000001</v>
      </c>
      <c r="C48" s="7">
        <v>29598858</v>
      </c>
      <c r="E48" s="6" t="s">
        <v>66</v>
      </c>
      <c r="F48" s="70">
        <v>17394205.501012322</v>
      </c>
      <c r="G48" s="70">
        <v>21669838.899999999</v>
      </c>
      <c r="H48" s="70">
        <v>30480858.199999999</v>
      </c>
      <c r="I48" s="6"/>
      <c r="J48" s="71">
        <f t="shared" si="14"/>
        <v>7.2417629102110401E-2</v>
      </c>
      <c r="K48" s="71">
        <f t="shared" si="15"/>
        <v>7.5032719892737493E-2</v>
      </c>
      <c r="L48" s="73">
        <f t="shared" si="16"/>
        <v>7.3463665418361232E-2</v>
      </c>
    </row>
    <row r="49" spans="1:13" x14ac:dyDescent="0.2">
      <c r="A49" s="59">
        <v>45139</v>
      </c>
      <c r="B49" s="7">
        <v>30480858.199999999</v>
      </c>
      <c r="C49" s="7">
        <v>32163300</v>
      </c>
      <c r="E49" s="6" t="s">
        <v>67</v>
      </c>
      <c r="F49" s="70">
        <v>17756287.618511092</v>
      </c>
      <c r="G49" s="70">
        <v>22210990.5</v>
      </c>
      <c r="H49" s="70">
        <v>30993082.5</v>
      </c>
      <c r="I49" s="6"/>
      <c r="J49" s="71">
        <f t="shared" si="14"/>
        <v>7.422608351829961E-2</v>
      </c>
      <c r="K49" s="71">
        <f t="shared" si="15"/>
        <v>7.6293628695631818E-2</v>
      </c>
      <c r="L49" s="73">
        <f t="shared" si="16"/>
        <v>7.5053101589232493E-2</v>
      </c>
    </row>
    <row r="50" spans="1:13" x14ac:dyDescent="0.2">
      <c r="A50" s="59">
        <v>45170</v>
      </c>
      <c r="B50" s="7">
        <v>30993082.5</v>
      </c>
      <c r="C50" s="7">
        <v>32167150</v>
      </c>
      <c r="E50" s="6" t="s">
        <v>68</v>
      </c>
      <c r="F50" s="70">
        <v>18244764.793817237</v>
      </c>
      <c r="G50" s="70">
        <v>23889521</v>
      </c>
      <c r="H50" s="70">
        <v>30396484.100000001</v>
      </c>
      <c r="I50" s="6"/>
      <c r="J50" s="71">
        <f t="shared" si="14"/>
        <v>7.9835502201406658E-2</v>
      </c>
      <c r="K50" s="71">
        <f t="shared" si="15"/>
        <v>7.4825021731158112E-2</v>
      </c>
      <c r="L50" s="73">
        <f t="shared" si="16"/>
        <v>7.7831310013307231E-2</v>
      </c>
      <c r="M50" s="275">
        <f>SUM(L50:L52)</f>
        <v>0.26655516359635301</v>
      </c>
    </row>
    <row r="51" spans="1:13" x14ac:dyDescent="0.2">
      <c r="A51" s="59">
        <v>45200</v>
      </c>
      <c r="B51" s="7">
        <v>30396484.100000001</v>
      </c>
      <c r="C51" s="7">
        <v>30891292</v>
      </c>
      <c r="E51" s="6" t="s">
        <v>69</v>
      </c>
      <c r="F51" s="70">
        <v>22893789.790910617</v>
      </c>
      <c r="G51" s="70">
        <v>29188984</v>
      </c>
      <c r="H51" s="70">
        <v>38054013.600000001</v>
      </c>
      <c r="I51" s="6"/>
      <c r="J51" s="274">
        <f t="shared" si="14"/>
        <v>9.754558060786668E-2</v>
      </c>
      <c r="K51" s="71">
        <f t="shared" si="15"/>
        <v>9.36750574576415E-2</v>
      </c>
      <c r="L51" s="73">
        <f t="shared" si="16"/>
        <v>9.5997371347776611E-2</v>
      </c>
    </row>
    <row r="52" spans="1:13" x14ac:dyDescent="0.2">
      <c r="A52" s="59">
        <v>45231</v>
      </c>
      <c r="B52" s="7">
        <v>38054013.600000001</v>
      </c>
      <c r="C52" s="7">
        <v>38617070</v>
      </c>
      <c r="E52" s="6" t="s">
        <v>94</v>
      </c>
      <c r="F52" s="70">
        <v>22600143.699488122</v>
      </c>
      <c r="G52" s="70">
        <v>27754348.505050506</v>
      </c>
      <c r="H52" s="70">
        <v>37653592.5</v>
      </c>
      <c r="I52" s="6"/>
      <c r="J52" s="274">
        <f>G52/$G$53</f>
        <v>9.2751225575999088E-2</v>
      </c>
      <c r="K52" s="71">
        <f t="shared" si="15"/>
        <v>9.2689367224174188E-2</v>
      </c>
      <c r="L52" s="73">
        <f t="shared" si="16"/>
        <v>9.2726482235269136E-2</v>
      </c>
    </row>
    <row r="53" spans="1:13" x14ac:dyDescent="0.2">
      <c r="A53" s="59">
        <v>45261</v>
      </c>
      <c r="B53" s="7">
        <v>37653592.5</v>
      </c>
      <c r="C53" s="7">
        <v>38159202</v>
      </c>
      <c r="E53" s="74" t="s">
        <v>98</v>
      </c>
      <c r="F53" s="75">
        <f>SUM(F41:F52)</f>
        <v>236993569.40559998</v>
      </c>
      <c r="G53" s="75">
        <f t="shared" ref="G53:H53" si="17">SUM(G41:G52)</f>
        <v>299234304.80505049</v>
      </c>
      <c r="H53" s="75">
        <f t="shared" si="17"/>
        <v>406234216.80000007</v>
      </c>
      <c r="I53" s="6"/>
      <c r="J53" s="6"/>
      <c r="K53" s="6"/>
      <c r="L53" s="6"/>
    </row>
    <row r="54" spans="1:13" x14ac:dyDescent="0.2">
      <c r="A54" s="59">
        <v>45292</v>
      </c>
      <c r="B54" s="7">
        <v>34006763.700000003</v>
      </c>
      <c r="C54" s="7">
        <v>35889628</v>
      </c>
      <c r="E54" s="1" t="s">
        <v>264</v>
      </c>
      <c r="F54" s="1">
        <f>F53/G53-1</f>
        <v>-0.20800000000000007</v>
      </c>
      <c r="G54" s="71">
        <f>G53/H53-1</f>
        <v>-0.26339463188948575</v>
      </c>
    </row>
    <row r="55" spans="1:13" x14ac:dyDescent="0.2">
      <c r="A55" s="59">
        <v>45323</v>
      </c>
      <c r="B55" s="7">
        <v>23684767.800000001</v>
      </c>
      <c r="C55" s="7">
        <v>25267100</v>
      </c>
      <c r="G55" s="278"/>
    </row>
    <row r="56" spans="1:13" x14ac:dyDescent="0.2">
      <c r="A56" s="59">
        <v>45352</v>
      </c>
      <c r="B56" s="7">
        <v>25054033.5</v>
      </c>
      <c r="C56" s="7">
        <v>27020817</v>
      </c>
    </row>
    <row r="57" spans="1:13" x14ac:dyDescent="0.2">
      <c r="A57" s="59">
        <v>45383</v>
      </c>
      <c r="B57" s="7">
        <v>24919117.100000001</v>
      </c>
      <c r="C57" s="7">
        <v>26343392</v>
      </c>
    </row>
    <row r="58" spans="1:13" x14ac:dyDescent="0.2">
      <c r="A58" s="59">
        <v>45413</v>
      </c>
      <c r="B58" s="7">
        <v>22040447</v>
      </c>
      <c r="C58" s="7">
        <v>23793133</v>
      </c>
      <c r="E58" s="1" t="s">
        <v>132</v>
      </c>
      <c r="J58" s="1" t="s">
        <v>132</v>
      </c>
    </row>
    <row r="59" spans="1:13" x14ac:dyDescent="0.2">
      <c r="A59" s="59">
        <v>45444</v>
      </c>
      <c r="B59" s="7">
        <v>22879455.5</v>
      </c>
      <c r="C59" s="7">
        <v>24544679</v>
      </c>
      <c r="E59" s="56" t="s">
        <v>73</v>
      </c>
      <c r="F59" s="56" t="s">
        <v>272</v>
      </c>
      <c r="G59" s="56" t="s">
        <v>70</v>
      </c>
      <c r="H59" s="56" t="s">
        <v>71</v>
      </c>
      <c r="J59" s="56" t="s">
        <v>118</v>
      </c>
      <c r="K59" s="56" t="s">
        <v>119</v>
      </c>
      <c r="L59" s="56" t="s">
        <v>120</v>
      </c>
      <c r="M59" s="1" t="s">
        <v>270</v>
      </c>
    </row>
    <row r="60" spans="1:13" x14ac:dyDescent="0.2">
      <c r="A60" s="59">
        <v>45474</v>
      </c>
      <c r="B60" s="7">
        <v>21936037.300000001</v>
      </c>
      <c r="C60" s="7">
        <v>23924606</v>
      </c>
      <c r="E60" s="6" t="s">
        <v>92</v>
      </c>
      <c r="F60" s="70">
        <v>28645815.903373614</v>
      </c>
      <c r="G60" s="7">
        <v>35889628</v>
      </c>
      <c r="H60" s="7">
        <v>47445507</v>
      </c>
      <c r="J60" s="71">
        <f>G60/$G$72</f>
        <v>0.11245865213787809</v>
      </c>
      <c r="K60" s="71">
        <f>H60/$H$72</f>
        <v>0.11462946259694617</v>
      </c>
      <c r="L60" s="73">
        <f>J60*0.6+K60*0.4</f>
        <v>0.11332697632150532</v>
      </c>
      <c r="M60" s="275">
        <f>SUM(L60:L62)</f>
        <v>0.27504823142921153</v>
      </c>
    </row>
    <row r="61" spans="1:13" x14ac:dyDescent="0.2">
      <c r="A61" s="59">
        <v>45505</v>
      </c>
      <c r="B61" s="7">
        <v>21669838.899999999</v>
      </c>
      <c r="C61" s="7">
        <v>23745764</v>
      </c>
      <c r="E61" s="6" t="s">
        <v>93</v>
      </c>
      <c r="F61" s="70">
        <v>19566257.09199249</v>
      </c>
      <c r="G61" s="7">
        <v>25267100</v>
      </c>
      <c r="H61" s="7">
        <v>30961024</v>
      </c>
      <c r="J61" s="71">
        <f t="shared" ref="J61:J71" si="18">G61/$G$72</f>
        <v>7.9173403787661981E-2</v>
      </c>
      <c r="K61" s="71">
        <f t="shared" ref="K61:K71" si="19">H61/$H$72</f>
        <v>7.4802563340110428E-2</v>
      </c>
      <c r="L61" s="73">
        <f t="shared" ref="L61:L71" si="20">J61*0.6+K61*0.4</f>
        <v>7.742506760864136E-2</v>
      </c>
    </row>
    <row r="62" spans="1:13" x14ac:dyDescent="0.2">
      <c r="A62" s="59">
        <v>45536</v>
      </c>
      <c r="B62" s="7">
        <v>22210990.5</v>
      </c>
      <c r="C62" s="7">
        <v>23627126</v>
      </c>
      <c r="E62" s="6" t="s">
        <v>61</v>
      </c>
      <c r="F62" s="70">
        <v>21305058.851428162</v>
      </c>
      <c r="G62" s="7">
        <v>27020817</v>
      </c>
      <c r="H62" s="7">
        <v>34659250</v>
      </c>
      <c r="J62" s="71">
        <f t="shared" si="18"/>
        <v>8.4668602847715851E-2</v>
      </c>
      <c r="K62" s="71">
        <f t="shared" si="19"/>
        <v>8.3737564476088475E-2</v>
      </c>
      <c r="L62" s="73">
        <f t="shared" si="20"/>
        <v>8.4296187499064895E-2</v>
      </c>
    </row>
    <row r="63" spans="1:13" x14ac:dyDescent="0.2">
      <c r="A63" s="59">
        <v>45566</v>
      </c>
      <c r="B63" s="7">
        <v>23889521</v>
      </c>
      <c r="C63" s="7">
        <v>25282712</v>
      </c>
      <c r="E63" s="6" t="s">
        <v>62</v>
      </c>
      <c r="F63" s="70">
        <v>21213681.619861882</v>
      </c>
      <c r="G63" s="7">
        <v>26343392</v>
      </c>
      <c r="H63" s="7">
        <v>35372106</v>
      </c>
      <c r="J63" s="71">
        <f t="shared" si="18"/>
        <v>8.2545919870213216E-2</v>
      </c>
      <c r="K63" s="71">
        <f t="shared" si="19"/>
        <v>8.5459841365004605E-2</v>
      </c>
      <c r="L63" s="73">
        <f t="shared" si="20"/>
        <v>8.3711488468129772E-2</v>
      </c>
      <c r="M63" s="275">
        <f>SUM(L63:L65)</f>
        <v>0.23631330947228485</v>
      </c>
    </row>
    <row r="64" spans="1:13" x14ac:dyDescent="0.2">
      <c r="A64" s="59">
        <v>45597</v>
      </c>
      <c r="B64" s="7">
        <v>29188984</v>
      </c>
      <c r="C64" s="7">
        <v>30659211</v>
      </c>
      <c r="E64" s="6" t="s">
        <v>63</v>
      </c>
      <c r="F64" s="70">
        <v>19358405.665364601</v>
      </c>
      <c r="G64" s="7">
        <v>23793133</v>
      </c>
      <c r="H64" s="7">
        <v>32771260</v>
      </c>
      <c r="J64" s="71">
        <f t="shared" si="18"/>
        <v>7.455478968233574E-2</v>
      </c>
      <c r="K64" s="71">
        <f t="shared" si="19"/>
        <v>7.9176136160264837E-2</v>
      </c>
      <c r="L64" s="73">
        <f t="shared" si="20"/>
        <v>7.6403328273507376E-2</v>
      </c>
    </row>
    <row r="65" spans="1:13" x14ac:dyDescent="0.2">
      <c r="A65" s="59">
        <v>45627</v>
      </c>
      <c r="B65" s="7">
        <v>27754348.505050506</v>
      </c>
      <c r="C65" s="7">
        <v>29038041.77777778</v>
      </c>
      <c r="E65" s="6" t="s">
        <v>64</v>
      </c>
      <c r="F65" s="70">
        <v>19311980.087337401</v>
      </c>
      <c r="G65" s="7">
        <v>24544679</v>
      </c>
      <c r="H65" s="7">
        <v>31097230</v>
      </c>
      <c r="J65" s="71">
        <f t="shared" si="18"/>
        <v>7.6909727721248086E-2</v>
      </c>
      <c r="K65" s="71">
        <f t="shared" si="19"/>
        <v>7.5131640244747153E-2</v>
      </c>
      <c r="L65" s="73">
        <f t="shared" si="20"/>
        <v>7.6198492730647716E-2</v>
      </c>
    </row>
    <row r="66" spans="1:13" x14ac:dyDescent="0.2">
      <c r="A66" s="59">
        <v>45658</v>
      </c>
      <c r="B66" s="7"/>
      <c r="E66" s="6" t="s">
        <v>65</v>
      </c>
      <c r="F66" s="70">
        <v>18608728.859094366</v>
      </c>
      <c r="G66" s="7">
        <v>23924606</v>
      </c>
      <c r="H66" s="7">
        <v>29598858</v>
      </c>
      <c r="J66" s="71">
        <f t="shared" si="18"/>
        <v>7.4966754843204031E-2</v>
      </c>
      <c r="K66" s="71">
        <f t="shared" si="19"/>
        <v>7.1511538195246208E-2</v>
      </c>
      <c r="L66" s="73">
        <f t="shared" si="20"/>
        <v>7.3584668184020902E-2</v>
      </c>
      <c r="M66" s="275">
        <f>SUM(L66:L68)</f>
        <v>0.22481880598504589</v>
      </c>
    </row>
    <row r="67" spans="1:13" x14ac:dyDescent="0.2">
      <c r="A67" s="59">
        <v>45689</v>
      </c>
      <c r="B67" s="7"/>
      <c r="E67" s="6" t="s">
        <v>66</v>
      </c>
      <c r="F67" s="70">
        <v>19153660.209863193</v>
      </c>
      <c r="G67" s="7">
        <v>23745764</v>
      </c>
      <c r="H67" s="7">
        <v>32163300</v>
      </c>
      <c r="J67" s="71">
        <f t="shared" si="18"/>
        <v>7.4406360896918419E-2</v>
      </c>
      <c r="K67" s="71">
        <f t="shared" si="19"/>
        <v>7.7707290478408395E-2</v>
      </c>
      <c r="L67" s="73">
        <f t="shared" si="20"/>
        <v>7.5726732729514412E-2</v>
      </c>
    </row>
    <row r="68" spans="1:13" x14ac:dyDescent="0.2">
      <c r="A68" s="59">
        <v>45717</v>
      </c>
      <c r="B68" s="7"/>
      <c r="E68" s="6" t="s">
        <v>67</v>
      </c>
      <c r="F68" s="70">
        <v>19098405.819468416</v>
      </c>
      <c r="G68" s="7">
        <v>23627126</v>
      </c>
      <c r="H68" s="7">
        <v>32167150</v>
      </c>
      <c r="J68" s="71">
        <f t="shared" si="18"/>
        <v>7.4034613673115104E-2</v>
      </c>
      <c r="K68" s="71">
        <f t="shared" si="19"/>
        <v>7.7716592169103746E-2</v>
      </c>
      <c r="L68" s="73">
        <f t="shared" si="20"/>
        <v>7.5507405071510561E-2</v>
      </c>
    </row>
    <row r="69" spans="1:13" x14ac:dyDescent="0.2">
      <c r="A69" s="59">
        <v>45748</v>
      </c>
      <c r="B69" s="7"/>
      <c r="E69" s="6" t="s">
        <v>68</v>
      </c>
      <c r="F69" s="70">
        <v>19509787.377191152</v>
      </c>
      <c r="G69" s="7">
        <v>25282712</v>
      </c>
      <c r="H69" s="7">
        <v>30891292</v>
      </c>
      <c r="J69" s="71">
        <f t="shared" si="18"/>
        <v>7.9222323338379433E-2</v>
      </c>
      <c r="K69" s="71">
        <f t="shared" si="19"/>
        <v>7.4634089185417335E-2</v>
      </c>
      <c r="L69" s="73">
        <f t="shared" si="20"/>
        <v>7.7387029677194602E-2</v>
      </c>
      <c r="M69" s="275">
        <f>SUM(L69:L71)</f>
        <v>0.26381965311345767</v>
      </c>
    </row>
    <row r="70" spans="1:13" x14ac:dyDescent="0.2">
      <c r="A70" s="59">
        <v>45778</v>
      </c>
      <c r="B70" s="7"/>
      <c r="E70" s="6" t="s">
        <v>69</v>
      </c>
      <c r="F70" s="70">
        <v>24319003.926089566</v>
      </c>
      <c r="G70" s="7">
        <v>30659211</v>
      </c>
      <c r="H70" s="7">
        <v>38617070</v>
      </c>
      <c r="J70" s="71">
        <f t="shared" si="18"/>
        <v>9.6069358664592611E-2</v>
      </c>
      <c r="K70" s="71">
        <f t="shared" si="19"/>
        <v>9.3299750831383296E-2</v>
      </c>
      <c r="L70" s="73">
        <f t="shared" si="20"/>
        <v>9.4961515531308882E-2</v>
      </c>
    </row>
    <row r="71" spans="1:13" x14ac:dyDescent="0.2">
      <c r="A71" s="59">
        <v>45809</v>
      </c>
      <c r="B71" s="7"/>
      <c r="E71" s="6" t="s">
        <v>94</v>
      </c>
      <c r="F71" s="70">
        <v>23953661.452012341</v>
      </c>
      <c r="G71" s="7">
        <v>29038041.77777778</v>
      </c>
      <c r="H71" s="7">
        <v>38159202</v>
      </c>
      <c r="J71" s="71">
        <f t="shared" si="18"/>
        <v>9.0989492536737424E-2</v>
      </c>
      <c r="K71" s="71">
        <f t="shared" si="19"/>
        <v>9.2193530957279349E-2</v>
      </c>
      <c r="L71" s="73">
        <f t="shared" si="20"/>
        <v>9.1471107904954191E-2</v>
      </c>
    </row>
    <row r="72" spans="1:13" x14ac:dyDescent="0.2">
      <c r="A72" s="59">
        <v>45839</v>
      </c>
      <c r="B72" s="7"/>
      <c r="E72" s="74" t="s">
        <v>98</v>
      </c>
      <c r="F72" s="75">
        <f>SUM(F60:F71)</f>
        <v>254044446.86307716</v>
      </c>
      <c r="G72" s="75">
        <f t="shared" ref="G72:H72" si="21">SUM(G60:G71)</f>
        <v>319136209.77777779</v>
      </c>
      <c r="H72" s="75">
        <f t="shared" si="21"/>
        <v>413903249</v>
      </c>
    </row>
    <row r="73" spans="1:13" x14ac:dyDescent="0.2">
      <c r="A73" s="59">
        <v>45870</v>
      </c>
      <c r="B73" s="7"/>
      <c r="F73" s="8">
        <f>F72/G72-1</f>
        <v>-0.20396232367372413</v>
      </c>
      <c r="G73" s="8">
        <f>G72/H72-1</f>
        <v>-0.2289593992102783</v>
      </c>
    </row>
    <row r="74" spans="1:13" x14ac:dyDescent="0.2">
      <c r="A74" s="59">
        <v>45901</v>
      </c>
      <c r="B74" s="7"/>
    </row>
    <row r="75" spans="1:13" x14ac:dyDescent="0.2">
      <c r="A75" s="59">
        <v>45931</v>
      </c>
      <c r="B75" s="7"/>
    </row>
    <row r="76" spans="1:13" x14ac:dyDescent="0.2">
      <c r="A76" s="59">
        <v>45962</v>
      </c>
      <c r="B76" s="7"/>
    </row>
    <row r="77" spans="1:13" x14ac:dyDescent="0.2">
      <c r="A77" s="59">
        <v>45992</v>
      </c>
      <c r="B77" s="7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724E-8040-4159-B8D8-6784A8324CB1}">
  <dimension ref="A1:T73"/>
  <sheetViews>
    <sheetView topLeftCell="A39" workbookViewId="0">
      <selection activeCell="M41" sqref="M41"/>
    </sheetView>
  </sheetViews>
  <sheetFormatPr defaultRowHeight="14.25" x14ac:dyDescent="0.2"/>
  <cols>
    <col min="1" max="1" width="11.375" bestFit="1" customWidth="1"/>
    <col min="2" max="2" width="9.125" bestFit="1" customWidth="1"/>
    <col min="3" max="5" width="17.125" customWidth="1"/>
    <col min="7" max="8" width="11.625" bestFit="1" customWidth="1"/>
    <col min="10" max="11" width="12.25" bestFit="1" customWidth="1"/>
    <col min="12" max="12" width="11.625" bestFit="1" customWidth="1"/>
    <col min="13" max="13" width="12.25" bestFit="1" customWidth="1"/>
  </cols>
  <sheetData>
    <row r="1" spans="1:20" x14ac:dyDescent="0.2">
      <c r="A1" t="s">
        <v>75</v>
      </c>
      <c r="B1" t="s">
        <v>77</v>
      </c>
      <c r="C1" t="s">
        <v>79</v>
      </c>
      <c r="D1" t="s">
        <v>80</v>
      </c>
      <c r="E1" t="s">
        <v>81</v>
      </c>
    </row>
    <row r="2" spans="1:20" x14ac:dyDescent="0.2">
      <c r="A2" s="60">
        <v>44896</v>
      </c>
      <c r="B2" s="61">
        <v>48308000</v>
      </c>
    </row>
    <row r="3" spans="1:20" x14ac:dyDescent="0.2">
      <c r="A3" s="60">
        <v>44927</v>
      </c>
      <c r="B3" s="61">
        <v>47418142.799999997</v>
      </c>
      <c r="G3" s="66">
        <v>706538</v>
      </c>
      <c r="H3" s="66">
        <f>G3+表1[[#This Row],[利润额]]</f>
        <v>48124680.799999997</v>
      </c>
    </row>
    <row r="4" spans="1:20" x14ac:dyDescent="0.2">
      <c r="A4" s="60">
        <v>44958</v>
      </c>
      <c r="B4" s="61">
        <v>30642606.800000001</v>
      </c>
      <c r="G4" s="66">
        <v>241063</v>
      </c>
      <c r="H4" s="66">
        <f>G4+表1[[#This Row],[利润额]]</f>
        <v>30883669.800000001</v>
      </c>
    </row>
    <row r="5" spans="1:20" x14ac:dyDescent="0.2">
      <c r="A5" s="60">
        <v>44986</v>
      </c>
      <c r="B5" s="61">
        <v>33392209.900000002</v>
      </c>
      <c r="G5" s="66">
        <v>367821</v>
      </c>
      <c r="H5" s="66">
        <f>G5+表1[[#This Row],[利润额]]</f>
        <v>33760030.900000006</v>
      </c>
    </row>
    <row r="6" spans="1:20" x14ac:dyDescent="0.2">
      <c r="A6" s="60">
        <v>45017</v>
      </c>
      <c r="B6" s="61">
        <v>33852089.5</v>
      </c>
      <c r="G6" s="66">
        <v>352315</v>
      </c>
      <c r="H6" s="66">
        <f>G6+表1[[#This Row],[利润额]]</f>
        <v>34204404.5</v>
      </c>
    </row>
    <row r="7" spans="1:20" x14ac:dyDescent="0.2">
      <c r="A7" s="60">
        <v>45047</v>
      </c>
      <c r="B7" s="61">
        <v>31498366.800000001</v>
      </c>
      <c r="G7" s="66">
        <v>478242</v>
      </c>
      <c r="H7" s="66">
        <f>G7+表1[[#This Row],[利润额]]</f>
        <v>31976608.800000001</v>
      </c>
    </row>
    <row r="8" spans="1:20" x14ac:dyDescent="0.2">
      <c r="A8" s="60">
        <v>45078</v>
      </c>
      <c r="B8" s="61">
        <v>30298796.800000001</v>
      </c>
      <c r="G8" s="66">
        <v>738877</v>
      </c>
      <c r="H8" s="66">
        <f>G8+表1[[#This Row],[利润额]]</f>
        <v>31037673.800000001</v>
      </c>
    </row>
    <row r="9" spans="1:20" x14ac:dyDescent="0.2">
      <c r="A9" s="60">
        <v>45108</v>
      </c>
      <c r="B9" s="61">
        <v>28220366.300000001</v>
      </c>
      <c r="G9" s="66">
        <v>448751</v>
      </c>
      <c r="H9" s="66">
        <f>G9+表1[[#This Row],[利润额]]</f>
        <v>28669117.300000001</v>
      </c>
    </row>
    <row r="10" spans="1:20" x14ac:dyDescent="0.2">
      <c r="A10" s="60">
        <v>45139</v>
      </c>
      <c r="B10" s="61">
        <v>29898575.199999999</v>
      </c>
      <c r="G10" s="66">
        <v>582283</v>
      </c>
      <c r="H10" s="66">
        <f>G10+表1[[#This Row],[利润额]]</f>
        <v>30480858.199999999</v>
      </c>
    </row>
    <row r="11" spans="1:20" x14ac:dyDescent="0.2">
      <c r="A11" s="60">
        <v>45170</v>
      </c>
      <c r="B11" s="61">
        <v>30053788.5</v>
      </c>
      <c r="G11" s="66">
        <v>939294</v>
      </c>
      <c r="H11" s="66">
        <f>G11+表1[[#This Row],[利润额]]</f>
        <v>30993082.5</v>
      </c>
    </row>
    <row r="12" spans="1:20" x14ac:dyDescent="0.2">
      <c r="A12" s="60">
        <v>45200</v>
      </c>
      <c r="B12" s="61">
        <v>29436563.100000001</v>
      </c>
      <c r="G12" s="66">
        <v>959921</v>
      </c>
      <c r="H12" s="66">
        <f>G12+表1[[#This Row],[利润额]]</f>
        <v>30396484.100000001</v>
      </c>
    </row>
    <row r="13" spans="1:20" x14ac:dyDescent="0.2">
      <c r="A13" s="60">
        <v>45231</v>
      </c>
      <c r="B13" s="61">
        <v>37262064.600000001</v>
      </c>
      <c r="G13" s="66">
        <v>791949</v>
      </c>
      <c r="H13" s="66">
        <f>G13+表1[[#This Row],[利润额]]</f>
        <v>38054013.600000001</v>
      </c>
    </row>
    <row r="14" spans="1:20" x14ac:dyDescent="0.2">
      <c r="A14" s="60">
        <v>45261</v>
      </c>
      <c r="B14" s="61">
        <v>36649961.5</v>
      </c>
      <c r="F14" t="s">
        <v>88</v>
      </c>
      <c r="G14" s="66">
        <v>1003631</v>
      </c>
      <c r="H14" s="66">
        <f>G14+表1[[#This Row],[利润额]]</f>
        <v>37653592.5</v>
      </c>
      <c r="I14" t="s">
        <v>89</v>
      </c>
    </row>
    <row r="15" spans="1:20" x14ac:dyDescent="0.2">
      <c r="A15" s="60">
        <v>45292</v>
      </c>
      <c r="B15" s="61">
        <v>33320358.699999999</v>
      </c>
      <c r="G15" s="66">
        <v>686405</v>
      </c>
      <c r="H15" s="66">
        <f>G15+表1[[#This Row],[利润额]]</f>
        <v>34006763.700000003</v>
      </c>
      <c r="I15" s="67">
        <f>SUM(H15:H17)/SUM($H$15:$H$26)</f>
        <v>0.27652432783035441</v>
      </c>
      <c r="J15" s="67"/>
      <c r="P15">
        <v>1046313</v>
      </c>
      <c r="Q15">
        <v>1046313</v>
      </c>
      <c r="R15">
        <v>1046313</v>
      </c>
      <c r="S15">
        <v>1046313</v>
      </c>
      <c r="T15">
        <v>1046313</v>
      </c>
    </row>
    <row r="16" spans="1:20" x14ac:dyDescent="0.2">
      <c r="A16" s="60">
        <v>45323</v>
      </c>
      <c r="B16" s="61">
        <v>23139464.800000001</v>
      </c>
      <c r="G16" s="66">
        <v>545303</v>
      </c>
      <c r="H16" s="66">
        <f>G16+表1[[#This Row],[利润额]]</f>
        <v>23684767.800000001</v>
      </c>
      <c r="P16">
        <v>751501</v>
      </c>
      <c r="Q16">
        <v>751501</v>
      </c>
      <c r="R16">
        <v>751501</v>
      </c>
      <c r="S16">
        <v>751501</v>
      </c>
      <c r="T16">
        <v>751501</v>
      </c>
    </row>
    <row r="17" spans="1:20" x14ac:dyDescent="0.2">
      <c r="A17" s="60">
        <v>45352</v>
      </c>
      <c r="B17" s="61">
        <v>24789011.5</v>
      </c>
      <c r="G17" s="66">
        <v>265022</v>
      </c>
      <c r="H17" s="66">
        <f>G17+表1[[#This Row],[利润额]]</f>
        <v>25054033.5</v>
      </c>
      <c r="P17">
        <v>592809.79999999981</v>
      </c>
      <c r="Q17">
        <v>592809.79999999981</v>
      </c>
      <c r="R17">
        <v>592809.79999999981</v>
      </c>
      <c r="S17">
        <v>592809.79999999981</v>
      </c>
      <c r="T17">
        <v>592809.79999999981</v>
      </c>
    </row>
    <row r="18" spans="1:20" x14ac:dyDescent="0.2">
      <c r="A18" s="60">
        <v>45383</v>
      </c>
      <c r="B18" s="61">
        <v>24686292.100000001</v>
      </c>
      <c r="G18" s="66">
        <v>232825</v>
      </c>
      <c r="H18" s="66">
        <f>G18+表1[[#This Row],[利润额]]</f>
        <v>24919117.100000001</v>
      </c>
      <c r="I18" s="67">
        <f>SUM(H18:H20)/SUM($H$15:$H$26)</f>
        <v>0.2333924235241</v>
      </c>
      <c r="J18" s="67"/>
      <c r="P18">
        <v>601844.30000000005</v>
      </c>
      <c r="Q18">
        <v>601844.30000000005</v>
      </c>
      <c r="R18">
        <v>601844.30000000005</v>
      </c>
      <c r="S18">
        <v>601844.30000000005</v>
      </c>
      <c r="T18">
        <v>601844.30000000005</v>
      </c>
    </row>
    <row r="19" spans="1:20" x14ac:dyDescent="0.2">
      <c r="A19" s="60">
        <v>45413</v>
      </c>
      <c r="B19" s="61">
        <v>21738307</v>
      </c>
      <c r="G19" s="66">
        <v>302140</v>
      </c>
      <c r="H19" s="66">
        <f>G19+表1[[#This Row],[利润额]]</f>
        <v>22040447</v>
      </c>
      <c r="P19">
        <v>726647</v>
      </c>
      <c r="Q19">
        <v>726647</v>
      </c>
      <c r="R19">
        <v>726647</v>
      </c>
      <c r="S19">
        <v>726647</v>
      </c>
      <c r="T19">
        <v>726647</v>
      </c>
    </row>
    <row r="20" spans="1:20" x14ac:dyDescent="0.2">
      <c r="A20" s="60">
        <v>45444</v>
      </c>
      <c r="B20" s="61">
        <v>22590734.5</v>
      </c>
      <c r="G20" s="66">
        <v>288721</v>
      </c>
      <c r="H20" s="66">
        <f>G20+表1[[#This Row],[利润额]]</f>
        <v>22879455.5</v>
      </c>
      <c r="P20">
        <v>648327</v>
      </c>
      <c r="Q20">
        <v>648327</v>
      </c>
      <c r="R20">
        <v>648327</v>
      </c>
      <c r="S20">
        <v>648327</v>
      </c>
      <c r="T20">
        <v>648327</v>
      </c>
    </row>
    <row r="21" spans="1:20" x14ac:dyDescent="0.2">
      <c r="A21" s="60">
        <v>45474</v>
      </c>
      <c r="B21" s="61">
        <v>21807770.300000001</v>
      </c>
      <c r="G21" s="66">
        <v>128267</v>
      </c>
      <c r="H21" s="66">
        <f>G21+表1[[#This Row],[利润额]]</f>
        <v>21936037.300000001</v>
      </c>
      <c r="I21" s="67">
        <f>SUM(H21:H23)/SUM($H$15:$H$26)</f>
        <v>0.21995094026027304</v>
      </c>
      <c r="J21" s="67"/>
      <c r="P21">
        <v>543728.69999999995</v>
      </c>
      <c r="Q21">
        <v>543728.69999999995</v>
      </c>
      <c r="R21">
        <v>543728.69999999995</v>
      </c>
      <c r="S21">
        <v>543728.69999999995</v>
      </c>
      <c r="T21">
        <v>543728.69999999995</v>
      </c>
    </row>
    <row r="22" spans="1:20" x14ac:dyDescent="0.2">
      <c r="A22" s="60">
        <v>45505</v>
      </c>
      <c r="B22" s="61">
        <v>21463664.899999999</v>
      </c>
      <c r="G22" s="66">
        <v>206174</v>
      </c>
      <c r="H22" s="66">
        <f>G22+表1[[#This Row],[利润额]]</f>
        <v>21669838.899999999</v>
      </c>
      <c r="P22">
        <v>483678.5</v>
      </c>
      <c r="Q22">
        <v>483678.5</v>
      </c>
      <c r="R22">
        <v>483678.5</v>
      </c>
      <c r="S22">
        <v>483678.5</v>
      </c>
      <c r="T22">
        <v>483678.5</v>
      </c>
    </row>
    <row r="23" spans="1:20" x14ac:dyDescent="0.2">
      <c r="A23" s="60">
        <v>45536</v>
      </c>
      <c r="B23" s="61">
        <v>21792337.5</v>
      </c>
      <c r="G23" s="66">
        <v>418653</v>
      </c>
      <c r="H23" s="66">
        <f>G23+表1[[#This Row],[利润额]]</f>
        <v>22210990.5</v>
      </c>
      <c r="P23">
        <v>623276.10000000009</v>
      </c>
      <c r="Q23">
        <v>623276.10000000009</v>
      </c>
      <c r="R23">
        <v>623276.10000000009</v>
      </c>
      <c r="S23">
        <v>623276.10000000009</v>
      </c>
      <c r="T23">
        <v>623276.10000000009</v>
      </c>
    </row>
    <row r="24" spans="1:20" x14ac:dyDescent="0.2">
      <c r="A24" s="60">
        <v>45566</v>
      </c>
      <c r="B24" s="61">
        <v>23541594</v>
      </c>
      <c r="G24" s="68">
        <v>347927</v>
      </c>
      <c r="H24" s="66">
        <f>G24+表1[[#This Row],[利润额]]</f>
        <v>23889521</v>
      </c>
      <c r="I24" s="67">
        <f>SUM(H24:H26)/SUM($H$15:$H$26)</f>
        <v>0.27013230838527241</v>
      </c>
      <c r="J24" s="67"/>
      <c r="P24">
        <v>665681</v>
      </c>
      <c r="Q24">
        <v>665681</v>
      </c>
      <c r="R24">
        <v>665681</v>
      </c>
      <c r="S24">
        <v>665681</v>
      </c>
      <c r="T24">
        <v>665681</v>
      </c>
    </row>
    <row r="25" spans="1:20" x14ac:dyDescent="0.2">
      <c r="A25" s="60">
        <v>45597</v>
      </c>
      <c r="B25" s="61">
        <v>29061437</v>
      </c>
      <c r="G25" s="68">
        <v>127547</v>
      </c>
      <c r="H25" s="66">
        <f>G25+表1[[#This Row],[利润额]]</f>
        <v>29188984</v>
      </c>
      <c r="P25">
        <v>387372</v>
      </c>
      <c r="Q25">
        <v>387372</v>
      </c>
      <c r="R25">
        <v>387372</v>
      </c>
      <c r="S25">
        <v>387372</v>
      </c>
      <c r="T25">
        <v>387372</v>
      </c>
    </row>
    <row r="26" spans="1:20" ht="15" x14ac:dyDescent="0.25">
      <c r="A26" s="60">
        <v>45627</v>
      </c>
      <c r="B26" s="61">
        <v>28574382.454545453</v>
      </c>
      <c r="C26" s="61">
        <v>28574382.454545453</v>
      </c>
      <c r="D26" s="61">
        <v>28574382.454545453</v>
      </c>
      <c r="E26" s="61">
        <v>28574382.454545453</v>
      </c>
      <c r="F26" t="s">
        <v>87</v>
      </c>
      <c r="G26" t="s">
        <v>85</v>
      </c>
      <c r="H26" s="200">
        <f>35273/11*31+27654942.7777778</f>
        <v>27754348.505050525</v>
      </c>
      <c r="J26" s="197">
        <f>11931142/12*31</f>
        <v>30822116.833333336</v>
      </c>
      <c r="M26" s="203" t="s">
        <v>90</v>
      </c>
    </row>
    <row r="27" spans="1:20" x14ac:dyDescent="0.2">
      <c r="A27" s="60">
        <v>45658</v>
      </c>
      <c r="C27" s="61">
        <f t="shared" ref="C27:C38" si="0">_xlfn.FORECAST.ETS(A27,$B$2:$B$26,$A$2:$A$26,12,1)</f>
        <v>25834584.640301459</v>
      </c>
      <c r="D27" s="61">
        <f t="shared" ref="D27:D38" si="1">C27-_xlfn.FORECAST.ETS.CONFINT(A27,$B$2:$B$26,$A$2:$A$26,0.95,12,1)</f>
        <v>22974354.364791121</v>
      </c>
      <c r="E27" s="65">
        <f t="shared" ref="E27:E38" si="2">C27+_xlfn.FORECAST.ETS.CONFINT(A27,$B$2:$B$26,$A$2:$A$26,0.95,12,1)</f>
        <v>28694814.915811796</v>
      </c>
      <c r="F27" s="62">
        <f>表1[[#This Row],[趋势预测(利润额)]]/C26-1</f>
        <v>-9.5883010546328085E-2</v>
      </c>
      <c r="G27" s="66">
        <v>25834584.640301459</v>
      </c>
      <c r="H27" s="61">
        <f>SUM(G27:G29)</f>
        <v>62461931.888921529</v>
      </c>
      <c r="I27" s="67">
        <f>H27/$G$42</f>
        <v>0.26745133311051206</v>
      </c>
      <c r="K27" s="61">
        <f>G42*0.01</f>
        <v>2335450.3850280675</v>
      </c>
      <c r="L27" s="61">
        <f>K27/3</f>
        <v>778483.4616760225</v>
      </c>
      <c r="M27" s="204">
        <f>G27+L27</f>
        <v>26613068.101977482</v>
      </c>
    </row>
    <row r="28" spans="1:20" x14ac:dyDescent="0.2">
      <c r="A28" s="60">
        <v>45689</v>
      </c>
      <c r="C28" s="61">
        <f t="shared" si="0"/>
        <v>14327880.16872734</v>
      </c>
      <c r="D28" s="61">
        <f t="shared" si="1"/>
        <v>11378229.647622691</v>
      </c>
      <c r="E28" s="61">
        <f t="shared" si="2"/>
        <v>17277530.689831987</v>
      </c>
      <c r="G28" s="66">
        <v>17277530.689831987</v>
      </c>
      <c r="L28" s="61">
        <v>778483.4616760225</v>
      </c>
      <c r="M28" s="204">
        <f t="shared" ref="M28:M37" si="3">G28+L28</f>
        <v>18056014.151508011</v>
      </c>
    </row>
    <row r="29" spans="1:20" x14ac:dyDescent="0.2">
      <c r="A29" s="60">
        <v>45717</v>
      </c>
      <c r="C29" s="61">
        <f t="shared" si="0"/>
        <v>16312697.771588529</v>
      </c>
      <c r="D29" s="61">
        <f t="shared" si="1"/>
        <v>13275578.98438897</v>
      </c>
      <c r="E29" s="61">
        <f t="shared" si="2"/>
        <v>19349816.558788087</v>
      </c>
      <c r="G29" s="66">
        <v>19349816.558788087</v>
      </c>
      <c r="L29" s="61">
        <v>778483.4616760225</v>
      </c>
      <c r="M29" s="204">
        <f t="shared" si="3"/>
        <v>20128300.020464111</v>
      </c>
    </row>
    <row r="30" spans="1:20" x14ac:dyDescent="0.2">
      <c r="A30" s="60">
        <v>45748</v>
      </c>
      <c r="C30" s="61">
        <f t="shared" si="0"/>
        <v>16394847.067217279</v>
      </c>
      <c r="D30" s="61">
        <f t="shared" si="1"/>
        <v>13272045.347046241</v>
      </c>
      <c r="E30" s="61">
        <f t="shared" si="2"/>
        <v>19517648.787388317</v>
      </c>
      <c r="G30" s="66">
        <v>19517648.787388317</v>
      </c>
      <c r="H30" s="61">
        <f>SUM(G30:G32)</f>
        <v>56606332.772555225</v>
      </c>
      <c r="I30" s="67">
        <f>H30/$G$42</f>
        <v>0.24237865696245534</v>
      </c>
      <c r="K30" s="61">
        <f>-G42*0.01</f>
        <v>-2335450.3850280675</v>
      </c>
      <c r="L30" s="61">
        <f>-778483.461676023</f>
        <v>-778483.46167602297</v>
      </c>
      <c r="M30" s="204">
        <f t="shared" si="3"/>
        <v>18739165.325712293</v>
      </c>
    </row>
    <row r="31" spans="1:20" x14ac:dyDescent="0.2">
      <c r="A31" s="60">
        <v>45778</v>
      </c>
      <c r="C31" s="61">
        <f t="shared" si="0"/>
        <v>13889561.08477374</v>
      </c>
      <c r="D31" s="61">
        <f t="shared" si="1"/>
        <v>10682716.10468577</v>
      </c>
      <c r="E31" s="61">
        <f t="shared" si="2"/>
        <v>17096406.064861711</v>
      </c>
      <c r="G31" s="66">
        <v>17096406.064861711</v>
      </c>
      <c r="K31" s="61"/>
      <c r="L31" s="61">
        <v>-778483.46167602297</v>
      </c>
      <c r="M31" s="204">
        <f t="shared" si="3"/>
        <v>16317922.603185687</v>
      </c>
    </row>
    <row r="32" spans="1:20" x14ac:dyDescent="0.2">
      <c r="A32" s="60">
        <v>45809</v>
      </c>
      <c r="C32" s="61">
        <f t="shared" si="0"/>
        <v>13842670.907807892</v>
      </c>
      <c r="D32" s="61">
        <f t="shared" si="1"/>
        <v>10553294.170820836</v>
      </c>
      <c r="E32" s="61">
        <f t="shared" si="2"/>
        <v>17132047.644794948</v>
      </c>
      <c r="G32" s="66">
        <v>19992277.9203052</v>
      </c>
      <c r="K32" s="61"/>
      <c r="L32" s="61">
        <v>-778483.46167602297</v>
      </c>
      <c r="M32" s="205">
        <f>G32+L32</f>
        <v>19213794.458629176</v>
      </c>
      <c r="N32" s="69">
        <f>M32-1000000</f>
        <v>18213794.458629176</v>
      </c>
    </row>
    <row r="33" spans="1:14" x14ac:dyDescent="0.2">
      <c r="A33" s="60">
        <v>45839</v>
      </c>
      <c r="C33" s="61">
        <f t="shared" si="0"/>
        <v>12409078.355547564</v>
      </c>
      <c r="D33" s="61">
        <f t="shared" si="1"/>
        <v>9038567.9016420636</v>
      </c>
      <c r="E33" s="61">
        <f t="shared" si="2"/>
        <v>15779588.809453065</v>
      </c>
      <c r="G33" s="66">
        <v>15779588.809453065</v>
      </c>
      <c r="H33" s="61">
        <f>SUM(G33:G35)</f>
        <v>49068979.389560431</v>
      </c>
      <c r="I33" s="67">
        <f>H33/$G$42</f>
        <v>0.21010499603900049</v>
      </c>
      <c r="K33" s="61">
        <f>G42*0.01</f>
        <v>2335450.3850280675</v>
      </c>
      <c r="L33" s="61">
        <v>778483.4616760225</v>
      </c>
      <c r="M33" s="204">
        <f t="shared" si="3"/>
        <v>16558072.271129087</v>
      </c>
    </row>
    <row r="34" spans="1:14" x14ac:dyDescent="0.2">
      <c r="A34" s="60">
        <v>45870</v>
      </c>
      <c r="C34" s="61">
        <f t="shared" si="0"/>
        <v>13015468.965267906</v>
      </c>
      <c r="D34" s="61">
        <f t="shared" si="1"/>
        <v>9565121.8386277724</v>
      </c>
      <c r="E34" s="61">
        <f t="shared" si="2"/>
        <v>16465816.09190804</v>
      </c>
      <c r="G34" s="66">
        <v>16465816.09190804</v>
      </c>
      <c r="K34" s="61"/>
      <c r="L34" s="61">
        <v>778483.4616760225</v>
      </c>
      <c r="M34" s="204">
        <f t="shared" si="3"/>
        <v>17244299.553584062</v>
      </c>
    </row>
    <row r="35" spans="1:14" x14ac:dyDescent="0.2">
      <c r="A35" s="60">
        <v>45901</v>
      </c>
      <c r="C35" s="61">
        <f t="shared" si="0"/>
        <v>13294597.383860346</v>
      </c>
      <c r="D35" s="61">
        <f t="shared" si="1"/>
        <v>9765620.2795213647</v>
      </c>
      <c r="E35" s="61">
        <f t="shared" si="2"/>
        <v>16823574.488199327</v>
      </c>
      <c r="G35" s="66">
        <v>16823574.488199327</v>
      </c>
      <c r="K35" s="61"/>
      <c r="L35" s="61">
        <v>778483.4616760225</v>
      </c>
      <c r="M35" s="204">
        <f t="shared" si="3"/>
        <v>17602057.949875351</v>
      </c>
    </row>
    <row r="36" spans="1:14" x14ac:dyDescent="0.2">
      <c r="A36" s="60">
        <v>45931</v>
      </c>
      <c r="C36" s="61">
        <f t="shared" si="0"/>
        <v>13948974.603978468</v>
      </c>
      <c r="D36" s="61">
        <f t="shared" si="1"/>
        <v>10342493.021102231</v>
      </c>
      <c r="E36" s="61">
        <f t="shared" si="2"/>
        <v>17555456.186854705</v>
      </c>
      <c r="G36" s="66">
        <v>17555456.186854705</v>
      </c>
      <c r="H36" s="61">
        <f>SUM(G36:G38)</f>
        <v>65407794.451769561</v>
      </c>
      <c r="I36" s="67">
        <f>H36/$G$42</f>
        <v>0.28006501388803207</v>
      </c>
      <c r="K36" s="61">
        <f>-G42*0.01</f>
        <v>-2335450.3850280675</v>
      </c>
      <c r="L36" s="61">
        <v>-778483.46167602297</v>
      </c>
      <c r="M36" s="205">
        <f t="shared" si="3"/>
        <v>16776972.725178681</v>
      </c>
      <c r="N36" s="69">
        <f>M36+1000000</f>
        <v>17776972.725178681</v>
      </c>
    </row>
    <row r="37" spans="1:14" x14ac:dyDescent="0.2">
      <c r="A37" s="60">
        <v>45962</v>
      </c>
      <c r="C37" s="61">
        <f t="shared" si="0"/>
        <v>20487854.074709181</v>
      </c>
      <c r="D37" s="61">
        <f t="shared" si="1"/>
        <v>16804920.234660119</v>
      </c>
      <c r="E37" s="61">
        <f t="shared" si="2"/>
        <v>24170787.914758243</v>
      </c>
      <c r="G37" s="66">
        <v>24170787.914758243</v>
      </c>
      <c r="L37" s="61">
        <v>-778483.46167602297</v>
      </c>
      <c r="M37" s="204">
        <f t="shared" si="3"/>
        <v>23392304.453082219</v>
      </c>
    </row>
    <row r="38" spans="1:14" x14ac:dyDescent="0.2">
      <c r="A38" s="60">
        <v>45992</v>
      </c>
      <c r="C38" s="61">
        <f t="shared" si="0"/>
        <v>19923150.085091397</v>
      </c>
      <c r="D38" s="61">
        <f t="shared" si="1"/>
        <v>16164749.820026182</v>
      </c>
      <c r="E38" s="61">
        <f t="shared" si="2"/>
        <v>23681550.350156613</v>
      </c>
      <c r="G38" s="66">
        <v>23681550.350156613</v>
      </c>
      <c r="L38" s="61">
        <v>-778483.46167602297</v>
      </c>
      <c r="M38" s="204">
        <f>G38+L38</f>
        <v>22903066.888480589</v>
      </c>
    </row>
    <row r="39" spans="1:14" x14ac:dyDescent="0.2">
      <c r="M39" s="61">
        <f>SUM(M27:M38)</f>
        <v>233545038.50280678</v>
      </c>
    </row>
    <row r="40" spans="1:14" x14ac:dyDescent="0.2">
      <c r="K40">
        <v>27654942.777777798</v>
      </c>
    </row>
    <row r="41" spans="1:14" x14ac:dyDescent="0.2">
      <c r="A41" t="s">
        <v>83</v>
      </c>
      <c r="B41" s="61">
        <f>SUM(B15:B26)</f>
        <v>296505354.75454545</v>
      </c>
    </row>
    <row r="42" spans="1:14" x14ac:dyDescent="0.2">
      <c r="A42" t="s">
        <v>82</v>
      </c>
      <c r="C42" s="61">
        <f>SUM(C27:C38)</f>
        <v>193681365.10887104</v>
      </c>
      <c r="D42" s="61">
        <f t="shared" ref="D42:G42" si="4">SUM(D27:D38)</f>
        <v>153817691.71493539</v>
      </c>
      <c r="E42" s="63">
        <f t="shared" si="4"/>
        <v>233545038.50280681</v>
      </c>
      <c r="G42" s="63">
        <f t="shared" si="4"/>
        <v>233545038.50280675</v>
      </c>
      <c r="J42" t="s">
        <v>252</v>
      </c>
      <c r="M42" s="270" t="s">
        <v>263</v>
      </c>
    </row>
    <row r="43" spans="1:14" x14ac:dyDescent="0.2">
      <c r="A43" t="s">
        <v>84</v>
      </c>
      <c r="C43" s="62">
        <f>C42/$B$41-1</f>
        <v>-0.3467862822605503</v>
      </c>
      <c r="D43" s="62">
        <f t="shared" ref="D43:E43" si="5">D42/$B$41-1</f>
        <v>-0.48123131927155405</v>
      </c>
      <c r="E43" s="64">
        <f t="shared" si="5"/>
        <v>-0.21234124524954623</v>
      </c>
      <c r="I43" t="s">
        <v>255</v>
      </c>
      <c r="J43" t="s">
        <v>253</v>
      </c>
      <c r="K43" t="s">
        <v>254</v>
      </c>
      <c r="L43" t="s">
        <v>260</v>
      </c>
      <c r="M43" s="270" t="s">
        <v>262</v>
      </c>
    </row>
    <row r="44" spans="1:14" ht="15" x14ac:dyDescent="0.25">
      <c r="I44" s="259">
        <v>45627</v>
      </c>
      <c r="J44" s="260">
        <v>694483</v>
      </c>
      <c r="K44" s="261">
        <v>682204</v>
      </c>
      <c r="L44" s="262"/>
      <c r="M44" s="270"/>
    </row>
    <row r="45" spans="1:14" ht="15" x14ac:dyDescent="0.25">
      <c r="I45" s="259">
        <v>45628</v>
      </c>
      <c r="J45" s="260">
        <v>932599</v>
      </c>
      <c r="K45" s="261">
        <v>887892</v>
      </c>
      <c r="L45" s="262"/>
      <c r="M45" s="270"/>
    </row>
    <row r="46" spans="1:14" ht="15" x14ac:dyDescent="0.25">
      <c r="I46" s="259">
        <v>45629</v>
      </c>
      <c r="J46" s="260">
        <v>916729</v>
      </c>
      <c r="K46" s="261">
        <v>844702</v>
      </c>
      <c r="L46" s="262"/>
      <c r="M46" s="270"/>
    </row>
    <row r="47" spans="1:14" ht="15" x14ac:dyDescent="0.25">
      <c r="I47" s="259">
        <v>45630</v>
      </c>
      <c r="J47" s="260">
        <v>859773</v>
      </c>
      <c r="K47" s="261">
        <v>779390</v>
      </c>
      <c r="L47" s="262"/>
      <c r="M47" s="270"/>
    </row>
    <row r="48" spans="1:14" ht="15" x14ac:dyDescent="0.25">
      <c r="I48" s="259">
        <v>45631</v>
      </c>
      <c r="J48" s="260">
        <v>917668</v>
      </c>
      <c r="K48" s="261">
        <v>805611</v>
      </c>
      <c r="L48" s="262"/>
      <c r="M48" s="270"/>
    </row>
    <row r="49" spans="9:13" ht="15" x14ac:dyDescent="0.25">
      <c r="I49" s="259">
        <v>45632</v>
      </c>
      <c r="J49" s="260">
        <v>886008</v>
      </c>
      <c r="K49" s="261">
        <v>827132</v>
      </c>
      <c r="L49" s="262"/>
      <c r="M49" s="270"/>
    </row>
    <row r="50" spans="9:13" ht="15" x14ac:dyDescent="0.25">
      <c r="I50" s="259">
        <v>45633</v>
      </c>
      <c r="J50" s="260">
        <v>683268</v>
      </c>
      <c r="K50" s="261">
        <v>666284</v>
      </c>
      <c r="L50" s="262"/>
      <c r="M50" s="270"/>
    </row>
    <row r="51" spans="9:13" ht="15" x14ac:dyDescent="0.25">
      <c r="I51" s="259">
        <v>45634</v>
      </c>
      <c r="J51" s="260">
        <v>735906</v>
      </c>
      <c r="K51" s="261">
        <v>725421</v>
      </c>
      <c r="L51" s="262"/>
      <c r="M51" s="270"/>
    </row>
    <row r="52" spans="9:13" ht="15" x14ac:dyDescent="0.25">
      <c r="I52" s="259">
        <v>45635</v>
      </c>
      <c r="J52" s="260">
        <v>1564160</v>
      </c>
      <c r="K52" s="261">
        <v>1548181</v>
      </c>
      <c r="L52" s="263"/>
      <c r="M52" s="270"/>
    </row>
    <row r="53" spans="9:13" ht="15" x14ac:dyDescent="0.25">
      <c r="I53" s="259">
        <v>45636</v>
      </c>
      <c r="J53" s="260">
        <v>1375428</v>
      </c>
      <c r="K53" s="261">
        <v>1295403</v>
      </c>
      <c r="L53" s="263"/>
      <c r="M53" s="270"/>
    </row>
    <row r="54" spans="9:13" ht="15" x14ac:dyDescent="0.25">
      <c r="I54" s="259">
        <v>45637</v>
      </c>
      <c r="J54" s="260">
        <v>1105410</v>
      </c>
      <c r="K54" s="261">
        <v>1077076</v>
      </c>
      <c r="L54" s="262"/>
      <c r="M54" s="270"/>
    </row>
    <row r="55" spans="9:13" ht="15" x14ac:dyDescent="0.25">
      <c r="I55" s="259">
        <v>45638</v>
      </c>
      <c r="J55" s="260">
        <v>1259710</v>
      </c>
      <c r="K55" s="261">
        <v>1226271</v>
      </c>
      <c r="L55" s="262"/>
      <c r="M55" s="270"/>
    </row>
    <row r="56" spans="9:13" ht="15" x14ac:dyDescent="0.25">
      <c r="I56" s="259">
        <v>45639</v>
      </c>
      <c r="J56" s="260">
        <v>1668361</v>
      </c>
      <c r="K56" s="261">
        <v>1627668</v>
      </c>
      <c r="L56" s="262"/>
      <c r="M56" s="270"/>
    </row>
    <row r="57" spans="9:13" ht="15" x14ac:dyDescent="0.25">
      <c r="I57" s="259">
        <v>45640</v>
      </c>
      <c r="J57" s="260">
        <v>1164545</v>
      </c>
      <c r="K57" s="261">
        <v>1153841</v>
      </c>
      <c r="L57" s="262"/>
      <c r="M57" s="270"/>
    </row>
    <row r="58" spans="9:13" ht="15" x14ac:dyDescent="0.25">
      <c r="I58" s="259">
        <v>45641</v>
      </c>
      <c r="J58" s="260">
        <v>897720</v>
      </c>
      <c r="K58" s="261">
        <v>882905</v>
      </c>
      <c r="L58" s="262"/>
      <c r="M58" s="270"/>
    </row>
    <row r="59" spans="9:13" x14ac:dyDescent="0.2">
      <c r="I59" s="266" t="s">
        <v>256</v>
      </c>
      <c r="J59" s="272">
        <f>AVERAGE(J58,J44:J51)*25+SUM(J52:J57)</f>
        <v>29038041.77777778</v>
      </c>
      <c r="K59" s="267">
        <f>AVERAGE(K58,K44:K51)*25+SUM(K52:K57)</f>
        <v>27654942.77777778</v>
      </c>
      <c r="L59" s="267">
        <f>35273/11*31</f>
        <v>99405.727272727265</v>
      </c>
      <c r="M59" s="271">
        <f>L59+K59</f>
        <v>27754348.505050506</v>
      </c>
    </row>
    <row r="60" spans="9:13" x14ac:dyDescent="0.2">
      <c r="I60" s="266" t="s">
        <v>257</v>
      </c>
      <c r="J60" s="272">
        <f>SUM(J62:J72)</f>
        <v>290098168</v>
      </c>
      <c r="K60" s="267">
        <f>SUM(K62:K72)</f>
        <v>267930969</v>
      </c>
      <c r="L60" s="267">
        <f>SUM(L62:L72)</f>
        <v>3548984</v>
      </c>
      <c r="M60" s="271">
        <f>L60+K60</f>
        <v>271479953</v>
      </c>
    </row>
    <row r="61" spans="9:13" x14ac:dyDescent="0.2">
      <c r="I61" s="268" t="s">
        <v>261</v>
      </c>
      <c r="J61" s="273">
        <f>J60+J59</f>
        <v>319136209.77777779</v>
      </c>
      <c r="K61" s="269">
        <f>K60+K59</f>
        <v>295585911.77777779</v>
      </c>
      <c r="L61" s="269">
        <f t="shared" ref="L61" si="6">L60+L59</f>
        <v>3648389.7272727271</v>
      </c>
      <c r="M61" s="271">
        <f>L61+K61</f>
        <v>299234301.50505054</v>
      </c>
    </row>
    <row r="62" spans="9:13" ht="15" x14ac:dyDescent="0.25">
      <c r="I62" t="s">
        <v>258</v>
      </c>
      <c r="J62" s="264">
        <v>35889628</v>
      </c>
      <c r="K62" s="265">
        <v>33320357</v>
      </c>
      <c r="L62" s="66">
        <v>686405</v>
      </c>
      <c r="M62" s="61">
        <f>L62+K62</f>
        <v>34006762</v>
      </c>
    </row>
    <row r="63" spans="9:13" ht="15" x14ac:dyDescent="0.25">
      <c r="I63" t="s">
        <v>259</v>
      </c>
      <c r="J63" s="264">
        <v>25267100</v>
      </c>
      <c r="K63" s="265">
        <v>23139465</v>
      </c>
      <c r="L63" s="66">
        <v>545303</v>
      </c>
      <c r="M63" s="61">
        <f t="shared" ref="M63:M72" si="7">L63+K63</f>
        <v>23684768</v>
      </c>
    </row>
    <row r="64" spans="9:13" ht="15" x14ac:dyDescent="0.25">
      <c r="I64" t="s">
        <v>61</v>
      </c>
      <c r="J64" s="264">
        <v>27020817</v>
      </c>
      <c r="K64" s="265">
        <v>24789013</v>
      </c>
      <c r="L64" s="66">
        <v>265022</v>
      </c>
      <c r="M64" s="61">
        <f t="shared" si="7"/>
        <v>25054035</v>
      </c>
    </row>
    <row r="65" spans="9:13" ht="15" x14ac:dyDescent="0.25">
      <c r="I65" t="s">
        <v>62</v>
      </c>
      <c r="J65" s="264">
        <v>26343392</v>
      </c>
      <c r="K65" s="265">
        <v>24686293</v>
      </c>
      <c r="L65" s="66">
        <v>232825</v>
      </c>
      <c r="M65" s="61">
        <f t="shared" si="7"/>
        <v>24919118</v>
      </c>
    </row>
    <row r="66" spans="9:13" ht="15" x14ac:dyDescent="0.25">
      <c r="I66" t="s">
        <v>63</v>
      </c>
      <c r="J66" s="264">
        <v>23793133</v>
      </c>
      <c r="K66" s="265">
        <v>21738306</v>
      </c>
      <c r="L66" s="66">
        <v>302140</v>
      </c>
      <c r="M66" s="61">
        <f t="shared" si="7"/>
        <v>22040446</v>
      </c>
    </row>
    <row r="67" spans="9:13" ht="15" x14ac:dyDescent="0.25">
      <c r="I67" t="s">
        <v>64</v>
      </c>
      <c r="J67" s="264">
        <v>24544679</v>
      </c>
      <c r="K67" s="265">
        <v>22590734</v>
      </c>
      <c r="L67" s="66">
        <v>288721</v>
      </c>
      <c r="M67" s="61">
        <f t="shared" si="7"/>
        <v>22879455</v>
      </c>
    </row>
    <row r="68" spans="9:13" ht="15" x14ac:dyDescent="0.25">
      <c r="I68" t="s">
        <v>65</v>
      </c>
      <c r="J68" s="264">
        <v>23924606</v>
      </c>
      <c r="K68" s="265">
        <v>21807771</v>
      </c>
      <c r="L68" s="66">
        <v>128267</v>
      </c>
      <c r="M68" s="61">
        <f t="shared" si="7"/>
        <v>21936038</v>
      </c>
    </row>
    <row r="69" spans="9:13" ht="15" x14ac:dyDescent="0.25">
      <c r="I69" t="s">
        <v>66</v>
      </c>
      <c r="J69" s="264">
        <v>23745764</v>
      </c>
      <c r="K69" s="265">
        <v>21463665</v>
      </c>
      <c r="L69" s="66">
        <v>206174</v>
      </c>
      <c r="M69" s="61">
        <f t="shared" si="7"/>
        <v>21669839</v>
      </c>
    </row>
    <row r="70" spans="9:13" ht="15" x14ac:dyDescent="0.25">
      <c r="I70" t="s">
        <v>67</v>
      </c>
      <c r="J70" s="264">
        <v>23627126</v>
      </c>
      <c r="K70" s="265">
        <v>21792336</v>
      </c>
      <c r="L70" s="66">
        <v>418653</v>
      </c>
      <c r="M70" s="61">
        <f t="shared" si="7"/>
        <v>22210989</v>
      </c>
    </row>
    <row r="71" spans="9:13" ht="15" x14ac:dyDescent="0.25">
      <c r="I71" t="s">
        <v>68</v>
      </c>
      <c r="J71" s="264">
        <v>25282712</v>
      </c>
      <c r="K71" s="265">
        <v>23541592</v>
      </c>
      <c r="L71" s="66">
        <v>347927</v>
      </c>
      <c r="M71" s="61">
        <f t="shared" si="7"/>
        <v>23889519</v>
      </c>
    </row>
    <row r="72" spans="9:13" ht="15" x14ac:dyDescent="0.25">
      <c r="I72" t="s">
        <v>69</v>
      </c>
      <c r="J72" s="264">
        <v>30659211</v>
      </c>
      <c r="K72" s="265">
        <v>29061437</v>
      </c>
      <c r="L72" s="66">
        <v>127547</v>
      </c>
      <c r="M72" s="61">
        <f t="shared" si="7"/>
        <v>29188984</v>
      </c>
    </row>
    <row r="73" spans="9:13" x14ac:dyDescent="0.2">
      <c r="J73" s="199"/>
    </row>
  </sheetData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1F50-0069-4A58-B628-DE0C1AD5C06E}">
  <dimension ref="A1:I40"/>
  <sheetViews>
    <sheetView workbookViewId="0">
      <selection activeCell="I36" sqref="I36:I38"/>
    </sheetView>
  </sheetViews>
  <sheetFormatPr defaultRowHeight="14.25" x14ac:dyDescent="0.2"/>
  <cols>
    <col min="1" max="1" width="11.375" bestFit="1" customWidth="1"/>
    <col min="2" max="2" width="9.125" bestFit="1" customWidth="1"/>
    <col min="3" max="5" width="17.125" customWidth="1"/>
  </cols>
  <sheetData>
    <row r="1" spans="1:5" x14ac:dyDescent="0.2">
      <c r="A1" t="s">
        <v>75</v>
      </c>
      <c r="B1" t="s">
        <v>77</v>
      </c>
      <c r="C1" t="s">
        <v>79</v>
      </c>
      <c r="D1" t="s">
        <v>80</v>
      </c>
      <c r="E1" t="s">
        <v>81</v>
      </c>
    </row>
    <row r="2" spans="1:5" x14ac:dyDescent="0.2">
      <c r="A2" s="60">
        <v>44896</v>
      </c>
      <c r="B2" s="61">
        <v>52710000</v>
      </c>
    </row>
    <row r="3" spans="1:5" x14ac:dyDescent="0.2">
      <c r="A3" s="60">
        <v>44927</v>
      </c>
      <c r="B3" s="61">
        <v>48124680.799999997</v>
      </c>
    </row>
    <row r="4" spans="1:5" x14ac:dyDescent="0.2">
      <c r="A4" s="60">
        <v>44958</v>
      </c>
      <c r="B4" s="61">
        <v>30883669.800000001</v>
      </c>
    </row>
    <row r="5" spans="1:5" x14ac:dyDescent="0.2">
      <c r="A5" s="60">
        <v>44986</v>
      </c>
      <c r="B5" s="61">
        <v>33760030.900000006</v>
      </c>
    </row>
    <row r="6" spans="1:5" x14ac:dyDescent="0.2">
      <c r="A6" s="60">
        <v>45017</v>
      </c>
      <c r="B6" s="61">
        <v>34204404.5</v>
      </c>
    </row>
    <row r="7" spans="1:5" x14ac:dyDescent="0.2">
      <c r="A7" s="60">
        <v>45047</v>
      </c>
      <c r="B7" s="61">
        <v>31976608.800000001</v>
      </c>
    </row>
    <row r="8" spans="1:5" x14ac:dyDescent="0.2">
      <c r="A8" s="60">
        <v>45078</v>
      </c>
      <c r="B8" s="61">
        <v>31037673.800000001</v>
      </c>
    </row>
    <row r="9" spans="1:5" x14ac:dyDescent="0.2">
      <c r="A9" s="60">
        <v>45108</v>
      </c>
      <c r="B9" s="61">
        <v>28669117.300000001</v>
      </c>
    </row>
    <row r="10" spans="1:5" x14ac:dyDescent="0.2">
      <c r="A10" s="60">
        <v>45139</v>
      </c>
      <c r="B10" s="61">
        <v>30480858.199999999</v>
      </c>
    </row>
    <row r="11" spans="1:5" x14ac:dyDescent="0.2">
      <c r="A11" s="60">
        <v>45170</v>
      </c>
      <c r="B11" s="61">
        <v>30993082.5</v>
      </c>
    </row>
    <row r="12" spans="1:5" x14ac:dyDescent="0.2">
      <c r="A12" s="60">
        <v>45200</v>
      </c>
      <c r="B12" s="61">
        <v>30396484.100000001</v>
      </c>
    </row>
    <row r="13" spans="1:5" x14ac:dyDescent="0.2">
      <c r="A13" s="60">
        <v>45231</v>
      </c>
      <c r="B13" s="61">
        <v>38054013.600000001</v>
      </c>
    </row>
    <row r="14" spans="1:5" x14ac:dyDescent="0.2">
      <c r="A14" s="60">
        <v>45261</v>
      </c>
      <c r="B14" s="61">
        <v>37653592.5</v>
      </c>
    </row>
    <row r="15" spans="1:5" x14ac:dyDescent="0.2">
      <c r="A15" s="60">
        <v>45292</v>
      </c>
      <c r="B15" s="61">
        <v>34006763.700000003</v>
      </c>
    </row>
    <row r="16" spans="1:5" x14ac:dyDescent="0.2">
      <c r="A16" s="60">
        <v>45323</v>
      </c>
      <c r="B16" s="61">
        <v>23684767.800000001</v>
      </c>
    </row>
    <row r="17" spans="1:9" x14ac:dyDescent="0.2">
      <c r="A17" s="60">
        <v>45352</v>
      </c>
      <c r="B17" s="61">
        <v>25054033.5</v>
      </c>
    </row>
    <row r="18" spans="1:9" x14ac:dyDescent="0.2">
      <c r="A18" s="60">
        <v>45383</v>
      </c>
      <c r="B18" s="61">
        <v>24919117.100000001</v>
      </c>
    </row>
    <row r="19" spans="1:9" x14ac:dyDescent="0.2">
      <c r="A19" s="60">
        <v>45413</v>
      </c>
      <c r="B19" s="61">
        <v>22040447</v>
      </c>
    </row>
    <row r="20" spans="1:9" x14ac:dyDescent="0.2">
      <c r="A20" s="60">
        <v>45444</v>
      </c>
      <c r="B20" s="61">
        <v>22879455.5</v>
      </c>
    </row>
    <row r="21" spans="1:9" x14ac:dyDescent="0.2">
      <c r="A21" s="60">
        <v>45474</v>
      </c>
      <c r="B21" s="61">
        <v>21936037.300000001</v>
      </c>
    </row>
    <row r="22" spans="1:9" x14ac:dyDescent="0.2">
      <c r="A22" s="60">
        <v>45505</v>
      </c>
      <c r="B22" s="61">
        <v>21669838.899999999</v>
      </c>
    </row>
    <row r="23" spans="1:9" x14ac:dyDescent="0.2">
      <c r="A23" s="60">
        <v>45536</v>
      </c>
      <c r="B23" s="61">
        <v>22210990.5</v>
      </c>
    </row>
    <row r="24" spans="1:9" x14ac:dyDescent="0.2">
      <c r="A24" s="60">
        <v>45566</v>
      </c>
      <c r="B24" s="61">
        <v>23889521</v>
      </c>
    </row>
    <row r="25" spans="1:9" x14ac:dyDescent="0.2">
      <c r="A25" s="60">
        <v>45597</v>
      </c>
      <c r="B25" s="61">
        <v>29188984</v>
      </c>
    </row>
    <row r="26" spans="1:9" x14ac:dyDescent="0.2">
      <c r="A26" s="60">
        <v>45627</v>
      </c>
      <c r="B26" s="61">
        <v>28673788.18181818</v>
      </c>
      <c r="C26" s="61">
        <v>28673788.18181818</v>
      </c>
      <c r="D26" s="61">
        <v>28673788.18181818</v>
      </c>
      <c r="E26" s="61">
        <v>28673788.18181818</v>
      </c>
    </row>
    <row r="27" spans="1:9" x14ac:dyDescent="0.2">
      <c r="A27" s="60">
        <v>45658</v>
      </c>
      <c r="C27" s="61">
        <f t="shared" ref="C27:C38" si="0">_xlfn.FORECAST.ETS(A27,$B$2:$B$26,$A$2:$A$26,12,1)</f>
        <v>25303104.609716568</v>
      </c>
      <c r="D27" s="61">
        <f t="shared" ref="D27:D38" si="1">C27-_xlfn.FORECAST.ETS.CONFINT(A27,$B$2:$B$26,$A$2:$A$26,0.95,12,1)</f>
        <v>21277763.242332391</v>
      </c>
      <c r="E27" s="61">
        <f t="shared" ref="E27:E38" si="2">C27+_xlfn.FORECAST.ETS.CONFINT(A27,$B$2:$B$26,$A$2:$A$26,0.95,12,1)</f>
        <v>29328445.977100745</v>
      </c>
      <c r="G27" s="67">
        <f>表2[[#This Row],[趋势预测(利润额)]]/$C$40</f>
        <v>0.13533800471792481</v>
      </c>
      <c r="H27" s="67">
        <f>表2[[#This Row],[置信下限(利润额)]]/$D$40</f>
        <v>0.16259918214006006</v>
      </c>
      <c r="I27" s="67">
        <f>表2[[#This Row],[置信上限(利润额)]]/$E$40</f>
        <v>0.12066122117040569</v>
      </c>
    </row>
    <row r="28" spans="1:9" x14ac:dyDescent="0.2">
      <c r="A28" s="60">
        <v>45689</v>
      </c>
      <c r="C28" s="61">
        <f t="shared" si="0"/>
        <v>13691805.502044624</v>
      </c>
      <c r="D28" s="61">
        <f t="shared" si="1"/>
        <v>9540618.6680368874</v>
      </c>
      <c r="E28" s="61">
        <f t="shared" si="2"/>
        <v>17842992.336052358</v>
      </c>
      <c r="G28" s="67">
        <f>表2[[#This Row],[趋势预测(利润额)]]/$C$40</f>
        <v>7.3232975408126441E-2</v>
      </c>
      <c r="H28" s="67">
        <f>表2[[#This Row],[置信下限(利润额)]]/$D$40</f>
        <v>7.2906948670556762E-2</v>
      </c>
      <c r="I28" s="67">
        <f>表2[[#This Row],[置信上限(利润额)]]/$E$40</f>
        <v>7.3408500616884614E-2</v>
      </c>
    </row>
    <row r="29" spans="1:9" x14ac:dyDescent="0.2">
      <c r="A29" s="60">
        <v>45717</v>
      </c>
      <c r="C29" s="61">
        <f t="shared" si="0"/>
        <v>15565632.666823054</v>
      </c>
      <c r="D29" s="61">
        <f t="shared" si="1"/>
        <v>11291347.482007746</v>
      </c>
      <c r="E29" s="61">
        <f t="shared" si="2"/>
        <v>19839917.851638362</v>
      </c>
      <c r="G29" s="67">
        <f>表2[[#This Row],[趋势预测(利润额)]]/$C$40</f>
        <v>8.3255462117918358E-2</v>
      </c>
      <c r="H29" s="67">
        <f>表2[[#This Row],[置信下限(利润额)]]/$D$40</f>
        <v>8.6285566998932084E-2</v>
      </c>
      <c r="I29" s="67">
        <f>表2[[#This Row],[置信上限(利润额)]]/$E$40</f>
        <v>8.1624124161517056E-2</v>
      </c>
    </row>
    <row r="30" spans="1:9" x14ac:dyDescent="0.2">
      <c r="A30" s="60">
        <v>45748</v>
      </c>
      <c r="C30" s="61">
        <f t="shared" si="0"/>
        <v>15683316.033322603</v>
      </c>
      <c r="D30" s="61">
        <f t="shared" si="1"/>
        <v>11288445.083954696</v>
      </c>
      <c r="E30" s="61">
        <f t="shared" si="2"/>
        <v>20078186.982690509</v>
      </c>
      <c r="G30" s="67">
        <f>表2[[#This Row],[趋势预测(利润额)]]/$C$40</f>
        <v>8.3884911833919648E-2</v>
      </c>
      <c r="H30" s="67">
        <f>表2[[#This Row],[置信下限(利润额)]]/$D$40</f>
        <v>8.6263387621133017E-2</v>
      </c>
      <c r="I30" s="67">
        <f>表2[[#This Row],[置信上限(利润额)]]/$E$40</f>
        <v>8.2604395817997278E-2</v>
      </c>
    </row>
    <row r="31" spans="1:9" x14ac:dyDescent="0.2">
      <c r="A31" s="60">
        <v>45778</v>
      </c>
      <c r="C31" s="61">
        <f t="shared" si="0"/>
        <v>13196264.26109948</v>
      </c>
      <c r="D31" s="61">
        <f t="shared" si="1"/>
        <v>8683115.1389249861</v>
      </c>
      <c r="E31" s="61">
        <f t="shared" si="2"/>
        <v>17709413.383273974</v>
      </c>
      <c r="G31" s="67">
        <f>表2[[#This Row],[趋势预测(利润额)]]/$C$40</f>
        <v>7.058248789525394E-2</v>
      </c>
      <c r="H31" s="67">
        <f>表2[[#This Row],[置信下限(利润额)]]/$D$40</f>
        <v>6.6354127731257387E-2</v>
      </c>
      <c r="I31" s="67">
        <f>表2[[#This Row],[置信上限(利润额)]]/$E$40</f>
        <v>7.2858938612218968E-2</v>
      </c>
    </row>
    <row r="32" spans="1:9" x14ac:dyDescent="0.2">
      <c r="A32" s="60">
        <v>45809</v>
      </c>
      <c r="C32" s="61">
        <f t="shared" si="0"/>
        <v>13288898.230388027</v>
      </c>
      <c r="D32" s="61">
        <f t="shared" si="1"/>
        <v>8659598.1472180896</v>
      </c>
      <c r="E32" s="61">
        <f t="shared" si="2"/>
        <v>17918198.313557964</v>
      </c>
      <c r="G32" s="67">
        <f>表2[[#This Row],[趋势预测(利润额)]]/$C$40</f>
        <v>7.1077956604172737E-2</v>
      </c>
      <c r="H32" s="67">
        <f>表2[[#This Row],[置信下限(利润额)]]/$D$40</f>
        <v>6.6174416942374817E-2</v>
      </c>
      <c r="I32" s="67">
        <f>表2[[#This Row],[置信上限(利润额)]]/$E$40</f>
        <v>7.3717908251105191E-2</v>
      </c>
    </row>
    <row r="33" spans="1:9" x14ac:dyDescent="0.2">
      <c r="A33" s="60">
        <v>45839</v>
      </c>
      <c r="C33" s="61">
        <f t="shared" si="0"/>
        <v>11657390.854322515</v>
      </c>
      <c r="D33" s="61">
        <f t="shared" si="1"/>
        <v>6913907.3399100797</v>
      </c>
      <c r="E33" s="61">
        <f t="shared" si="2"/>
        <v>16400874.368734952</v>
      </c>
      <c r="G33" s="67">
        <f>表2[[#This Row],[趋势预测(利润额)]]/$C$40</f>
        <v>6.2351558940129066E-2</v>
      </c>
      <c r="H33" s="67">
        <f>表2[[#This Row],[置信下限(利润额)]]/$D$40</f>
        <v>5.2834297762320008E-2</v>
      </c>
      <c r="I33" s="67">
        <f>表2[[#This Row],[置信上限(利润额)]]/$E$40</f>
        <v>6.7475430888465859E-2</v>
      </c>
    </row>
    <row r="34" spans="1:9" x14ac:dyDescent="0.2">
      <c r="A34" s="60">
        <v>45870</v>
      </c>
      <c r="C34" s="61">
        <f t="shared" si="0"/>
        <v>12386824.720479975</v>
      </c>
      <c r="D34" s="61">
        <f t="shared" si="1"/>
        <v>7530983.1682743449</v>
      </c>
      <c r="E34" s="61">
        <f t="shared" si="2"/>
        <v>17242666.272685602</v>
      </c>
      <c r="G34" s="67">
        <f>表2[[#This Row],[趋势预测(利润额)]]/$C$40</f>
        <v>6.6253061366101068E-2</v>
      </c>
      <c r="H34" s="67">
        <f>表2[[#This Row],[置信下限(利润额)]]/$D$40</f>
        <v>5.7549832185168071E-2</v>
      </c>
      <c r="I34" s="67">
        <f>表2[[#This Row],[置信上限(利润额)]]/$E$40</f>
        <v>7.0938677430111882E-2</v>
      </c>
    </row>
    <row r="35" spans="1:9" x14ac:dyDescent="0.2">
      <c r="A35" s="60">
        <v>45901</v>
      </c>
      <c r="C35" s="61">
        <f t="shared" si="0"/>
        <v>12957849.21673198</v>
      </c>
      <c r="D35" s="61">
        <f t="shared" si="1"/>
        <v>7991347.8674262026</v>
      </c>
      <c r="E35" s="61">
        <f t="shared" si="2"/>
        <v>17924350.566037759</v>
      </c>
      <c r="G35" s="67">
        <f>表2[[#This Row],[趋势预测(利润额)]]/$C$40</f>
        <v>6.9307284045879575E-2</v>
      </c>
      <c r="H35" s="67">
        <f>表2[[#This Row],[置信下限(利润额)]]/$D$40</f>
        <v>6.1067820552447298E-2</v>
      </c>
      <c r="I35" s="67">
        <f>表2[[#This Row],[置信上限(利润额)]]/$E$40</f>
        <v>7.3743219455719988E-2</v>
      </c>
    </row>
    <row r="36" spans="1:9" x14ac:dyDescent="0.2">
      <c r="A36" s="60">
        <v>45931</v>
      </c>
      <c r="C36" s="61">
        <f t="shared" si="0"/>
        <v>13593989.439693078</v>
      </c>
      <c r="D36" s="61">
        <f t="shared" si="1"/>
        <v>8518412.2630720027</v>
      </c>
      <c r="E36" s="61">
        <f t="shared" si="2"/>
        <v>18669566.616314154</v>
      </c>
      <c r="G36" s="67">
        <f>表2[[#This Row],[趋势预测(利润额)]]/$C$40</f>
        <v>7.2709789383636036E-2</v>
      </c>
      <c r="H36" s="67">
        <f>表2[[#This Row],[置信下限(利润额)]]/$D$40</f>
        <v>6.5095510807814477E-2</v>
      </c>
      <c r="I36" s="67">
        <f>表2[[#This Row],[置信上限(利润额)]]/$E$40</f>
        <v>7.6809139782093361E-2</v>
      </c>
    </row>
    <row r="37" spans="1:9" x14ac:dyDescent="0.2">
      <c r="A37" s="60">
        <v>45962</v>
      </c>
      <c r="C37" s="61">
        <f t="shared" si="0"/>
        <v>20018706.475322966</v>
      </c>
      <c r="D37" s="61">
        <f t="shared" si="1"/>
        <v>14835534.313758679</v>
      </c>
      <c r="E37" s="61">
        <f t="shared" si="2"/>
        <v>25201878.636887252</v>
      </c>
      <c r="G37" s="67">
        <f>表2[[#This Row],[趋势预测(利润额)]]/$C$40</f>
        <v>0.10707349288528115</v>
      </c>
      <c r="H37" s="67">
        <f>表2[[#This Row],[置信下限(利润额)]]/$D$40</f>
        <v>0.11336932921731001</v>
      </c>
      <c r="I37" s="67">
        <f>表2[[#This Row],[置信上限(利润额)]]/$E$40</f>
        <v>0.10368396111029751</v>
      </c>
    </row>
    <row r="38" spans="1:9" x14ac:dyDescent="0.2">
      <c r="A38" s="60">
        <v>45992</v>
      </c>
      <c r="C38" s="61">
        <f t="shared" si="0"/>
        <v>19618517.770179674</v>
      </c>
      <c r="D38" s="61">
        <f t="shared" si="1"/>
        <v>14329138.033278842</v>
      </c>
      <c r="E38" s="61">
        <f t="shared" si="2"/>
        <v>24907897.507080507</v>
      </c>
      <c r="G38" s="67">
        <f>表2[[#This Row],[趋势预测(利润额)]]/$C$40</f>
        <v>0.10493301480165718</v>
      </c>
      <c r="H38" s="67">
        <f>表2[[#This Row],[置信下限(利润额)]]/$D$40</f>
        <v>0.1094995793706262</v>
      </c>
      <c r="I38" s="67">
        <f>表2[[#This Row],[置信上限(利润额)]]/$E$40</f>
        <v>0.10247448270318267</v>
      </c>
    </row>
    <row r="40" spans="1:9" x14ac:dyDescent="0.2">
      <c r="C40" s="61">
        <f>SUM(C27:C38)</f>
        <v>186962299.78012455</v>
      </c>
      <c r="D40" s="61">
        <f t="shared" ref="D40:E40" si="3">SUM(D27:D38)</f>
        <v>130860210.74819492</v>
      </c>
      <c r="E40" s="61">
        <f t="shared" si="3"/>
        <v>243064388.81205413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D099-A7C2-4CFA-9993-5D586AD50A4A}">
  <dimension ref="A1:U58"/>
  <sheetViews>
    <sheetView showGridLines="0" workbookViewId="0">
      <selection activeCell="M41" sqref="M41"/>
    </sheetView>
  </sheetViews>
  <sheetFormatPr defaultRowHeight="24" customHeight="1" x14ac:dyDescent="0.2"/>
  <cols>
    <col min="1" max="1" width="1.625" style="88" customWidth="1"/>
    <col min="2" max="2" width="14.25" style="88" customWidth="1"/>
    <col min="3" max="3" width="10.75" style="88" bestFit="1" customWidth="1"/>
    <col min="4" max="6" width="9.125" style="88" bestFit="1" customWidth="1"/>
    <col min="7" max="7" width="9" style="88" bestFit="1" customWidth="1"/>
    <col min="8" max="8" width="2.625" style="88" customWidth="1"/>
    <col min="9" max="9" width="1.625" style="88" customWidth="1"/>
    <col min="10" max="10" width="17.875" style="88" customWidth="1"/>
    <col min="11" max="11" width="9.75" style="88" customWidth="1"/>
    <col min="12" max="12" width="9.5" style="88" customWidth="1"/>
    <col min="13" max="14" width="9.125" style="88" bestFit="1" customWidth="1"/>
    <col min="15" max="16" width="11.625" style="88" customWidth="1"/>
    <col min="17" max="17" width="2" style="88" customWidth="1"/>
    <col min="18" max="18" width="15.875" style="88" customWidth="1"/>
    <col min="19" max="23" width="9" style="88"/>
    <col min="24" max="24" width="1.625" style="88" customWidth="1"/>
    <col min="25" max="16384" width="9" style="88"/>
  </cols>
  <sheetData>
    <row r="1" spans="2:18" ht="43.5" customHeight="1" x14ac:dyDescent="0.2">
      <c r="B1" s="87" t="s">
        <v>121</v>
      </c>
    </row>
    <row r="2" spans="2:18" ht="24" customHeight="1" x14ac:dyDescent="0.2">
      <c r="B2" s="88" t="s">
        <v>122</v>
      </c>
      <c r="C2" s="88" t="s">
        <v>123</v>
      </c>
      <c r="K2" s="89"/>
    </row>
    <row r="3" spans="2:18" ht="24" customHeight="1" x14ac:dyDescent="0.2">
      <c r="J3" s="88" t="s">
        <v>124</v>
      </c>
      <c r="K3" s="89"/>
    </row>
    <row r="4" spans="2:18" ht="24" customHeight="1" x14ac:dyDescent="0.2">
      <c r="B4" s="90" t="s">
        <v>5</v>
      </c>
      <c r="C4" s="91" t="s">
        <v>125</v>
      </c>
      <c r="D4" s="91" t="s">
        <v>126</v>
      </c>
      <c r="E4" s="91" t="s">
        <v>127</v>
      </c>
      <c r="F4" s="91" t="s">
        <v>128</v>
      </c>
      <c r="G4" s="92" t="s">
        <v>111</v>
      </c>
      <c r="H4" s="93"/>
      <c r="I4" s="93"/>
      <c r="J4" s="90" t="s">
        <v>4</v>
      </c>
      <c r="K4" s="91" t="s">
        <v>125</v>
      </c>
      <c r="L4" s="91" t="s">
        <v>126</v>
      </c>
      <c r="M4" s="91" t="s">
        <v>127</v>
      </c>
      <c r="N4" s="91" t="s">
        <v>128</v>
      </c>
      <c r="O4" s="94" t="s">
        <v>129</v>
      </c>
      <c r="P4" s="95" t="s">
        <v>130</v>
      </c>
      <c r="R4" s="96" t="s">
        <v>131</v>
      </c>
    </row>
    <row r="5" spans="2:18" ht="24" customHeight="1" x14ac:dyDescent="0.2">
      <c r="B5" s="97" t="s">
        <v>132</v>
      </c>
      <c r="C5" s="98">
        <f>$G$5*K5</f>
        <v>66966918.238580786</v>
      </c>
      <c r="D5" s="98">
        <f t="shared" ref="D5:F5" si="0">$G$5*L5</f>
        <v>57663920.708916724</v>
      </c>
      <c r="E5" s="98">
        <f t="shared" si="0"/>
        <v>54748161.753801584</v>
      </c>
      <c r="F5" s="98">
        <f t="shared" si="0"/>
        <v>65292572.173809424</v>
      </c>
      <c r="G5" s="99">
        <v>244671572.87510854</v>
      </c>
      <c r="J5" s="100" t="s">
        <v>132</v>
      </c>
      <c r="K5" s="101">
        <v>0.27370126186569183</v>
      </c>
      <c r="L5" s="102">
        <v>0.23567887364810869</v>
      </c>
      <c r="M5" s="102">
        <v>0.22376184168214558</v>
      </c>
      <c r="N5" s="102">
        <v>0.2668580228040538</v>
      </c>
      <c r="O5" s="103">
        <f>SUM(K5:L5)</f>
        <v>0.50938013551380057</v>
      </c>
      <c r="P5" s="104">
        <f>SUM(M5:N5)</f>
        <v>0.49061986448619938</v>
      </c>
      <c r="R5" s="88" t="s">
        <v>133</v>
      </c>
    </row>
    <row r="6" spans="2:18" ht="24" customHeight="1" x14ac:dyDescent="0.2">
      <c r="B6" s="97" t="s">
        <v>2</v>
      </c>
      <c r="C6" s="98">
        <f>$G$6*K6</f>
        <v>408084.32170162321</v>
      </c>
      <c r="D6" s="98">
        <f t="shared" ref="D6:F6" si="1">$G$6*L6</f>
        <v>491449.18598665035</v>
      </c>
      <c r="E6" s="98">
        <f t="shared" si="1"/>
        <v>494067.2549738065</v>
      </c>
      <c r="F6" s="98">
        <f t="shared" si="1"/>
        <v>417719.99205490056</v>
      </c>
      <c r="G6" s="99">
        <v>1811320.7547169812</v>
      </c>
      <c r="J6" s="100" t="s">
        <v>2</v>
      </c>
      <c r="K6" s="105">
        <v>0.22529655260610448</v>
      </c>
      <c r="L6" s="105">
        <v>0.27132090476346321</v>
      </c>
      <c r="M6" s="105">
        <v>0.27276629701678901</v>
      </c>
      <c r="N6" s="105">
        <v>0.230616245613643</v>
      </c>
      <c r="O6" s="102">
        <f t="shared" ref="O6:O9" si="2">SUM(K6:L6)</f>
        <v>0.49661745736956769</v>
      </c>
      <c r="P6" s="106">
        <f t="shared" ref="P6:P9" si="3">SUM(M6:N6)</f>
        <v>0.50338254263043203</v>
      </c>
      <c r="R6" s="88" t="s">
        <v>229</v>
      </c>
    </row>
    <row r="7" spans="2:18" ht="24" customHeight="1" x14ac:dyDescent="0.2">
      <c r="B7" s="97" t="s">
        <v>6</v>
      </c>
      <c r="C7" s="98">
        <f>$G$7*K7</f>
        <v>1021428.5714285714</v>
      </c>
      <c r="D7" s="98">
        <f t="shared" ref="D7:F7" si="4">$G$7*L7</f>
        <v>1067857.142857143</v>
      </c>
      <c r="E7" s="98">
        <f t="shared" si="4"/>
        <v>1160714.2857142857</v>
      </c>
      <c r="F7" s="98">
        <f t="shared" si="4"/>
        <v>1392857.1428571427</v>
      </c>
      <c r="G7" s="99">
        <v>4642857.1428571427</v>
      </c>
      <c r="J7" s="100" t="s">
        <v>6</v>
      </c>
      <c r="K7" s="102">
        <v>0.22</v>
      </c>
      <c r="L7" s="102">
        <v>0.23</v>
      </c>
      <c r="M7" s="102">
        <v>0.25</v>
      </c>
      <c r="N7" s="102">
        <v>0.3</v>
      </c>
      <c r="O7" s="102">
        <f t="shared" si="2"/>
        <v>0.45</v>
      </c>
      <c r="P7" s="106">
        <f t="shared" si="3"/>
        <v>0.55000000000000004</v>
      </c>
    </row>
    <row r="8" spans="2:18" ht="24" customHeight="1" x14ac:dyDescent="0.2">
      <c r="B8" s="97" t="s">
        <v>3</v>
      </c>
      <c r="C8" s="98">
        <f>$G$8*K8</f>
        <v>25988588.461244613</v>
      </c>
      <c r="D8" s="98">
        <f t="shared" ref="D8:F8" si="5">$G$8*L8</f>
        <v>17563990.911352828</v>
      </c>
      <c r="E8" s="98">
        <f t="shared" si="5"/>
        <v>15597752.631422117</v>
      </c>
      <c r="F8" s="98">
        <f t="shared" si="5"/>
        <v>16849667.995980449</v>
      </c>
      <c r="G8" s="99">
        <v>76000000</v>
      </c>
      <c r="J8" s="100" t="s">
        <v>3</v>
      </c>
      <c r="K8" s="102">
        <v>0.34195511133216594</v>
      </c>
      <c r="L8" s="102">
        <v>0.23110514357043194</v>
      </c>
      <c r="M8" s="102">
        <v>0.20523358725555418</v>
      </c>
      <c r="N8" s="102">
        <v>0.221706157841848</v>
      </c>
      <c r="O8" s="102">
        <f t="shared" si="2"/>
        <v>0.57306025490259782</v>
      </c>
      <c r="P8" s="106">
        <f t="shared" si="3"/>
        <v>0.42693974509740218</v>
      </c>
    </row>
    <row r="9" spans="2:18" ht="24" customHeight="1" x14ac:dyDescent="0.2">
      <c r="B9" s="107" t="s">
        <v>134</v>
      </c>
      <c r="C9" s="108">
        <f>SUM(C5:C8)</f>
        <v>94385019.592955589</v>
      </c>
      <c r="D9" s="108">
        <f t="shared" ref="D9:G9" si="6">SUM(D5:D8)</f>
        <v>76787217.949113339</v>
      </c>
      <c r="E9" s="108">
        <f t="shared" si="6"/>
        <v>72000695.925911784</v>
      </c>
      <c r="F9" s="108">
        <f t="shared" si="6"/>
        <v>83952817.304701924</v>
      </c>
      <c r="G9" s="109">
        <f t="shared" si="6"/>
        <v>327125750.77268267</v>
      </c>
      <c r="J9" s="107" t="s">
        <v>7</v>
      </c>
      <c r="K9" s="110">
        <v>0.28852824753176665</v>
      </c>
      <c r="L9" s="110">
        <v>0.23473302779661703</v>
      </c>
      <c r="M9" s="110">
        <v>0.22010097265606141</v>
      </c>
      <c r="N9" s="110">
        <v>0.25663775201555483</v>
      </c>
      <c r="O9" s="110">
        <f t="shared" si="2"/>
        <v>0.52326127532838362</v>
      </c>
      <c r="P9" s="111">
        <f t="shared" si="3"/>
        <v>0.47673872467161627</v>
      </c>
    </row>
    <row r="10" spans="2:18" ht="24" customHeight="1" x14ac:dyDescent="0.2">
      <c r="C10" s="112"/>
      <c r="D10" s="112"/>
      <c r="E10" s="112"/>
      <c r="F10" s="112"/>
      <c r="G10" s="112"/>
      <c r="H10" s="112"/>
      <c r="I10" s="112"/>
      <c r="J10" s="88" t="s">
        <v>135</v>
      </c>
      <c r="K10" s="112"/>
    </row>
    <row r="11" spans="2:18" ht="24" customHeight="1" x14ac:dyDescent="0.2">
      <c r="B11" s="113" t="s">
        <v>136</v>
      </c>
      <c r="C11" s="113" t="s">
        <v>137</v>
      </c>
      <c r="D11" s="89"/>
      <c r="E11" s="89"/>
      <c r="F11" s="89"/>
    </row>
    <row r="12" spans="2:18" ht="24" customHeight="1" x14ac:dyDescent="0.2">
      <c r="C12" s="96" t="s">
        <v>138</v>
      </c>
      <c r="J12" s="88" t="s">
        <v>124</v>
      </c>
      <c r="K12" s="89"/>
    </row>
    <row r="13" spans="2:18" ht="24" customHeight="1" x14ac:dyDescent="0.2">
      <c r="B13" s="90" t="s">
        <v>5</v>
      </c>
      <c r="C13" s="91" t="s">
        <v>125</v>
      </c>
      <c r="D13" s="91" t="s">
        <v>126</v>
      </c>
      <c r="E13" s="91" t="s">
        <v>127</v>
      </c>
      <c r="F13" s="91" t="s">
        <v>128</v>
      </c>
      <c r="G13" s="92" t="s">
        <v>111</v>
      </c>
      <c r="H13" s="93"/>
      <c r="I13" s="93"/>
      <c r="J13" s="90" t="s">
        <v>4</v>
      </c>
      <c r="K13" s="91" t="s">
        <v>125</v>
      </c>
      <c r="L13" s="91" t="s">
        <v>126</v>
      </c>
      <c r="M13" s="91" t="s">
        <v>127</v>
      </c>
      <c r="N13" s="91" t="s">
        <v>128</v>
      </c>
      <c r="O13" s="94" t="s">
        <v>129</v>
      </c>
      <c r="P13" s="95" t="s">
        <v>130</v>
      </c>
    </row>
    <row r="14" spans="2:18" ht="24" customHeight="1" x14ac:dyDescent="0.2">
      <c r="B14" s="97" t="s">
        <v>132</v>
      </c>
      <c r="C14" s="98">
        <f>C5+(C6-C15)</f>
        <v>67034932.292197719</v>
      </c>
      <c r="D14" s="98">
        <f>D5+(D6-D15)</f>
        <v>57745828.906581163</v>
      </c>
      <c r="E14" s="98">
        <f>E5+(E6-E15)</f>
        <v>54830506.296297222</v>
      </c>
      <c r="F14" s="98">
        <f>F5+(F6-F15)</f>
        <v>65362192.17248524</v>
      </c>
      <c r="G14" s="99">
        <f>SUM(C14:F14)</f>
        <v>244973459.66756135</v>
      </c>
      <c r="J14" s="100" t="s">
        <v>132</v>
      </c>
      <c r="K14" s="102">
        <f>C14/$G$14</f>
        <v>0.27364161155729588</v>
      </c>
      <c r="L14" s="102">
        <f>D14/$G$14</f>
        <v>0.23572279619573699</v>
      </c>
      <c r="M14" s="102">
        <f>E14/$G$14</f>
        <v>0.22382223107231444</v>
      </c>
      <c r="N14" s="102">
        <f>F14/$G$14</f>
        <v>0.2668133611746526</v>
      </c>
      <c r="O14" s="103">
        <f>SUM(K14:L14)</f>
        <v>0.50936440775303282</v>
      </c>
      <c r="P14" s="104">
        <f>SUM(M14:N14)</f>
        <v>0.49063559224696707</v>
      </c>
    </row>
    <row r="15" spans="2:18" ht="24" customHeight="1" x14ac:dyDescent="0.2">
      <c r="B15" s="97" t="s">
        <v>2</v>
      </c>
      <c r="C15" s="98">
        <f>K15*$G$15</f>
        <v>340070.26808468602</v>
      </c>
      <c r="D15" s="98">
        <f t="shared" ref="D15" si="7">L15*$G$15</f>
        <v>409540.98832220864</v>
      </c>
      <c r="E15" s="98">
        <f>M15*$G$15</f>
        <v>411722.71247817209</v>
      </c>
      <c r="F15" s="98">
        <f>N15*$G$15</f>
        <v>348099.99337908381</v>
      </c>
      <c r="G15" s="99">
        <v>1509433.9622641511</v>
      </c>
      <c r="J15" s="100" t="s">
        <v>2</v>
      </c>
      <c r="K15" s="102">
        <f>K6</f>
        <v>0.22529655260610448</v>
      </c>
      <c r="L15" s="102">
        <f>L6</f>
        <v>0.27132090476346321</v>
      </c>
      <c r="M15" s="102">
        <f>M6</f>
        <v>0.27276629701678901</v>
      </c>
      <c r="N15" s="102">
        <f>N6</f>
        <v>0.230616245613643</v>
      </c>
      <c r="O15" s="102">
        <f t="shared" ref="O15:O18" si="8">SUM(K15:L15)</f>
        <v>0.49661745736956769</v>
      </c>
      <c r="P15" s="106">
        <f t="shared" ref="P15:P18" si="9">SUM(M15:N15)</f>
        <v>0.50338254263043203</v>
      </c>
    </row>
    <row r="16" spans="2:18" ht="24" customHeight="1" x14ac:dyDescent="0.2">
      <c r="B16" s="97" t="s">
        <v>6</v>
      </c>
      <c r="C16" s="98">
        <f>K16*$G$16</f>
        <v>1021428.5714285714</v>
      </c>
      <c r="D16" s="98">
        <f t="shared" ref="D16:F16" si="10">L16*$G$16</f>
        <v>1067857.142857143</v>
      </c>
      <c r="E16" s="98">
        <f t="shared" si="10"/>
        <v>1160714.2857142857</v>
      </c>
      <c r="F16" s="98">
        <f t="shared" si="10"/>
        <v>1392857.1428571427</v>
      </c>
      <c r="G16" s="99">
        <v>4642857.1428571427</v>
      </c>
      <c r="J16" s="100" t="s">
        <v>6</v>
      </c>
      <c r="K16" s="102">
        <v>0.22</v>
      </c>
      <c r="L16" s="102">
        <v>0.23</v>
      </c>
      <c r="M16" s="102">
        <v>0.25</v>
      </c>
      <c r="N16" s="102">
        <v>0.3</v>
      </c>
      <c r="O16" s="102">
        <f t="shared" si="8"/>
        <v>0.45</v>
      </c>
      <c r="P16" s="106">
        <f t="shared" si="9"/>
        <v>0.55000000000000004</v>
      </c>
    </row>
    <row r="17" spans="1:21" ht="24" customHeight="1" x14ac:dyDescent="0.2">
      <c r="B17" s="97" t="s">
        <v>3</v>
      </c>
      <c r="C17" s="98">
        <v>25988588.461244613</v>
      </c>
      <c r="D17" s="98">
        <v>17563990.911352828</v>
      </c>
      <c r="E17" s="98">
        <v>15597752.631422117</v>
      </c>
      <c r="F17" s="98">
        <v>16849667.995980449</v>
      </c>
      <c r="G17" s="99">
        <v>76000000</v>
      </c>
      <c r="J17" s="100" t="s">
        <v>3</v>
      </c>
      <c r="K17" s="102">
        <v>0.34195511133216594</v>
      </c>
      <c r="L17" s="102">
        <v>0.23110514357043194</v>
      </c>
      <c r="M17" s="102">
        <v>0.20523358725555418</v>
      </c>
      <c r="N17" s="102">
        <v>0.221706157841848</v>
      </c>
      <c r="O17" s="102">
        <f t="shared" si="8"/>
        <v>0.57306025490259782</v>
      </c>
      <c r="P17" s="106">
        <f t="shared" si="9"/>
        <v>0.42693974509740218</v>
      </c>
    </row>
    <row r="18" spans="1:21" ht="24" customHeight="1" x14ac:dyDescent="0.2">
      <c r="B18" s="107" t="s">
        <v>134</v>
      </c>
      <c r="C18" s="108">
        <f>SUM(C14:C17)</f>
        <v>94385019.592955589</v>
      </c>
      <c r="D18" s="108">
        <f t="shared" ref="D18:G18" si="11">SUM(D14:D17)</f>
        <v>76787217.949113339</v>
      </c>
      <c r="E18" s="108">
        <f t="shared" si="11"/>
        <v>72000695.925911799</v>
      </c>
      <c r="F18" s="108">
        <f t="shared" si="11"/>
        <v>83952817.304701924</v>
      </c>
      <c r="G18" s="109">
        <f t="shared" si="11"/>
        <v>327125750.77268267</v>
      </c>
      <c r="J18" s="107" t="s">
        <v>7</v>
      </c>
      <c r="K18" s="110">
        <f>C18/$G$18</f>
        <v>0.28852824753176665</v>
      </c>
      <c r="L18" s="110">
        <f>D18/$G$18</f>
        <v>0.23473302779661703</v>
      </c>
      <c r="M18" s="110">
        <f>E18/$G$18</f>
        <v>0.22010097265606143</v>
      </c>
      <c r="N18" s="110">
        <f>F18/$G$18</f>
        <v>0.25663775201555483</v>
      </c>
      <c r="O18" s="110">
        <f t="shared" si="8"/>
        <v>0.52326127532838362</v>
      </c>
      <c r="P18" s="111">
        <f t="shared" si="9"/>
        <v>0.47673872467161627</v>
      </c>
    </row>
    <row r="19" spans="1:21" ht="24" customHeight="1" x14ac:dyDescent="0.2">
      <c r="K19" s="114"/>
      <c r="L19" s="114"/>
      <c r="M19" s="114"/>
      <c r="N19" s="114"/>
      <c r="O19" s="114"/>
      <c r="P19" s="114"/>
    </row>
    <row r="20" spans="1:21" ht="24" customHeight="1" x14ac:dyDescent="0.2">
      <c r="J20" s="88" t="s">
        <v>139</v>
      </c>
      <c r="K20" s="115"/>
    </row>
    <row r="21" spans="1:21" ht="24" customHeight="1" x14ac:dyDescent="0.2">
      <c r="C21" s="116"/>
      <c r="D21" s="116"/>
      <c r="E21" s="116"/>
      <c r="G21" s="116"/>
      <c r="J21" s="117" t="s">
        <v>4</v>
      </c>
      <c r="K21" s="118" t="s">
        <v>125</v>
      </c>
      <c r="L21" s="118" t="s">
        <v>126</v>
      </c>
      <c r="M21" s="118" t="s">
        <v>127</v>
      </c>
      <c r="N21" s="118" t="s">
        <v>128</v>
      </c>
      <c r="O21" s="118" t="s">
        <v>129</v>
      </c>
      <c r="P21" s="119" t="s">
        <v>130</v>
      </c>
    </row>
    <row r="22" spans="1:21" ht="24" customHeight="1" x14ac:dyDescent="0.2">
      <c r="C22" s="116"/>
      <c r="D22" s="116"/>
      <c r="E22" s="116"/>
      <c r="G22" s="116"/>
      <c r="J22" s="120" t="s">
        <v>132</v>
      </c>
      <c r="K22" s="121">
        <v>0.27100000000000002</v>
      </c>
      <c r="L22" s="121">
        <v>0.23300000000000001</v>
      </c>
      <c r="M22" s="121">
        <v>0.219</v>
      </c>
      <c r="N22" s="122">
        <v>0.27800000000000002</v>
      </c>
      <c r="O22" s="123">
        <f>SUM(K22:L22)</f>
        <v>0.504</v>
      </c>
      <c r="P22" s="124">
        <f>SUM(M22:N22)</f>
        <v>0.497</v>
      </c>
    </row>
    <row r="23" spans="1:21" ht="24" customHeight="1" x14ac:dyDescent="0.2">
      <c r="C23" s="116"/>
      <c r="D23" s="116"/>
      <c r="E23" s="116"/>
      <c r="F23" s="116"/>
      <c r="G23" s="116"/>
      <c r="K23" s="125" t="s">
        <v>140</v>
      </c>
      <c r="M23" s="125" t="s">
        <v>141</v>
      </c>
      <c r="N23" s="126" t="s">
        <v>142</v>
      </c>
      <c r="O23" s="126"/>
      <c r="P23" s="126"/>
    </row>
    <row r="24" spans="1:21" ht="24" customHeight="1" x14ac:dyDescent="0.2">
      <c r="C24" s="116"/>
      <c r="D24" s="116"/>
      <c r="E24" s="116"/>
      <c r="F24" s="116"/>
      <c r="G24" s="116"/>
      <c r="J24" s="127" t="s">
        <v>143</v>
      </c>
      <c r="K24" s="125"/>
      <c r="M24" s="125"/>
      <c r="N24" s="126"/>
      <c r="O24" s="126"/>
      <c r="P24" s="126"/>
    </row>
    <row r="25" spans="1:21" ht="24" customHeight="1" x14ac:dyDescent="0.2">
      <c r="C25" s="116"/>
      <c r="D25" s="116"/>
      <c r="E25" s="116"/>
      <c r="F25" s="116"/>
      <c r="G25" s="116"/>
    </row>
    <row r="26" spans="1:21" ht="21" customHeight="1" x14ac:dyDescent="0.2">
      <c r="A26" s="128"/>
      <c r="B26" s="129" t="s">
        <v>144</v>
      </c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</row>
    <row r="27" spans="1:21" ht="24" customHeight="1" x14ac:dyDescent="0.2">
      <c r="B27" s="88" t="s">
        <v>145</v>
      </c>
      <c r="C27" s="130" t="s">
        <v>146</v>
      </c>
      <c r="D27" s="130"/>
      <c r="E27" s="130"/>
      <c r="F27" s="130"/>
      <c r="G27" s="130"/>
      <c r="H27" s="96"/>
      <c r="I27" s="96"/>
      <c r="J27" s="96" t="s">
        <v>147</v>
      </c>
      <c r="K27" s="113"/>
      <c r="L27" s="131"/>
      <c r="M27" s="131"/>
      <c r="N27" s="132"/>
      <c r="O27" s="132"/>
      <c r="P27" s="132"/>
      <c r="R27" s="112"/>
      <c r="S27" s="112"/>
      <c r="T27" s="112"/>
      <c r="U27" s="112"/>
    </row>
    <row r="28" spans="1:21" ht="24" customHeight="1" x14ac:dyDescent="0.2">
      <c r="B28" s="133" t="s">
        <v>148</v>
      </c>
      <c r="C28" s="134" t="s">
        <v>125</v>
      </c>
      <c r="D28" s="134" t="s">
        <v>126</v>
      </c>
      <c r="E28" s="134" t="s">
        <v>127</v>
      </c>
      <c r="F28" s="134" t="s">
        <v>149</v>
      </c>
      <c r="G28" s="135" t="s">
        <v>111</v>
      </c>
      <c r="J28" s="136" t="s">
        <v>148</v>
      </c>
      <c r="K28" s="137" t="s">
        <v>125</v>
      </c>
      <c r="L28" s="137" t="s">
        <v>126</v>
      </c>
      <c r="M28" s="137" t="s">
        <v>127</v>
      </c>
      <c r="N28" s="137" t="s">
        <v>150</v>
      </c>
      <c r="O28" s="94" t="s">
        <v>129</v>
      </c>
      <c r="P28" s="95" t="s">
        <v>130</v>
      </c>
      <c r="R28" s="112" t="s">
        <v>151</v>
      </c>
      <c r="S28" s="112" t="s">
        <v>152</v>
      </c>
      <c r="T28" s="112"/>
      <c r="U28" s="112"/>
    </row>
    <row r="29" spans="1:21" ht="35.25" customHeight="1" x14ac:dyDescent="0.2">
      <c r="B29" s="138" t="s">
        <v>153</v>
      </c>
      <c r="C29" s="139">
        <v>88177543.899999991</v>
      </c>
      <c r="D29" s="139">
        <v>74681200.099999994</v>
      </c>
      <c r="E29" s="139">
        <v>71297496.5</v>
      </c>
      <c r="F29" s="139">
        <v>82663010.039999992</v>
      </c>
      <c r="G29" s="140">
        <v>316819250.53999996</v>
      </c>
      <c r="J29" s="141" t="s">
        <v>154</v>
      </c>
      <c r="K29" s="105">
        <v>0.27832129439643111</v>
      </c>
      <c r="L29" s="102">
        <v>0.23572178765245558</v>
      </c>
      <c r="M29" s="102">
        <v>0.22504155406742984</v>
      </c>
      <c r="N29" s="102">
        <v>0.26091536388368353</v>
      </c>
      <c r="O29" s="102">
        <f>SUM(K29:L29)</f>
        <v>0.51404308204888671</v>
      </c>
      <c r="P29" s="106">
        <f>SUM(M29:N29)</f>
        <v>0.4859569179511134</v>
      </c>
      <c r="R29" s="88" t="s">
        <v>8</v>
      </c>
      <c r="S29" s="142"/>
      <c r="T29" s="112"/>
      <c r="U29" s="112"/>
    </row>
    <row r="30" spans="1:21" ht="33" customHeight="1" x14ac:dyDescent="0.2">
      <c r="C30" s="143"/>
      <c r="D30" s="143"/>
      <c r="E30" s="143"/>
      <c r="F30" s="144" t="s">
        <v>155</v>
      </c>
      <c r="G30" s="143"/>
      <c r="J30" s="141" t="s">
        <v>156</v>
      </c>
      <c r="K30" s="102">
        <v>0.27610728607617363</v>
      </c>
      <c r="L30" s="102">
        <v>0.2364449487975416</v>
      </c>
      <c r="M30" s="102">
        <v>0.22573194976462896</v>
      </c>
      <c r="N30" s="102">
        <v>0.26171581536165572</v>
      </c>
      <c r="O30" s="102">
        <f t="shared" ref="O30:O31" si="12">SUM(K30:L30)</f>
        <v>0.51255223487371526</v>
      </c>
      <c r="P30" s="106">
        <f t="shared" ref="P30:P31" si="13">SUM(M30:N30)</f>
        <v>0.48744776512628468</v>
      </c>
      <c r="R30" s="112" t="s">
        <v>157</v>
      </c>
      <c r="S30" s="112"/>
      <c r="T30" s="112"/>
      <c r="U30" s="112"/>
    </row>
    <row r="31" spans="1:21" ht="32.25" customHeight="1" x14ac:dyDescent="0.2">
      <c r="C31" s="116"/>
      <c r="D31" s="116"/>
      <c r="E31" s="116"/>
      <c r="F31" s="116"/>
      <c r="G31" s="116"/>
      <c r="J31" s="145" t="s">
        <v>158</v>
      </c>
      <c r="K31" s="146">
        <f>K30*0.6+K42*0.4</f>
        <v>0.27494011408907321</v>
      </c>
      <c r="L31" s="146">
        <f>L30*0.6+L42*0.4</f>
        <v>0.23828708639502963</v>
      </c>
      <c r="M31" s="146">
        <f>M30*0.6+M42*0.4</f>
        <v>0.22625187985702555</v>
      </c>
      <c r="N31" s="146">
        <f>N30*0.6+N42*0.4</f>
        <v>0.26052091965887147</v>
      </c>
      <c r="O31" s="146">
        <f t="shared" si="12"/>
        <v>0.51322720048410286</v>
      </c>
      <c r="P31" s="147">
        <f t="shared" si="13"/>
        <v>0.48677279951589703</v>
      </c>
      <c r="R31" s="112"/>
      <c r="S31" s="112"/>
      <c r="T31" s="112"/>
      <c r="U31" s="112"/>
    </row>
    <row r="32" spans="1:21" ht="24" customHeight="1" x14ac:dyDescent="0.2">
      <c r="C32" s="116"/>
      <c r="D32" s="116"/>
      <c r="E32" s="116"/>
      <c r="F32" s="116"/>
      <c r="G32" s="116"/>
      <c r="J32" s="96"/>
      <c r="K32" s="96"/>
      <c r="R32" s="112"/>
      <c r="S32" s="112"/>
      <c r="T32" s="112"/>
      <c r="U32" s="112"/>
    </row>
    <row r="33" spans="2:20" ht="24" customHeight="1" x14ac:dyDescent="0.2">
      <c r="B33" s="88" t="s">
        <v>145</v>
      </c>
      <c r="C33" s="88" t="s">
        <v>159</v>
      </c>
      <c r="J33" s="88" t="s">
        <v>160</v>
      </c>
      <c r="K33" s="89"/>
      <c r="R33" s="112"/>
    </row>
    <row r="34" spans="2:20" s="112" customFormat="1" ht="24" customHeight="1" x14ac:dyDescent="0.2">
      <c r="B34" s="148" t="s">
        <v>100</v>
      </c>
      <c r="C34" s="137" t="s">
        <v>125</v>
      </c>
      <c r="D34" s="137" t="s">
        <v>126</v>
      </c>
      <c r="E34" s="137" t="s">
        <v>127</v>
      </c>
      <c r="F34" s="137" t="s">
        <v>149</v>
      </c>
      <c r="G34" s="149" t="s">
        <v>111</v>
      </c>
      <c r="J34" s="148" t="s">
        <v>100</v>
      </c>
      <c r="K34" s="137" t="s">
        <v>125</v>
      </c>
      <c r="L34" s="137" t="s">
        <v>126</v>
      </c>
      <c r="M34" s="137" t="s">
        <v>127</v>
      </c>
      <c r="N34" s="137" t="s">
        <v>149</v>
      </c>
      <c r="O34" s="94" t="s">
        <v>129</v>
      </c>
      <c r="P34" s="95" t="s">
        <v>130</v>
      </c>
      <c r="R34" s="112" t="s">
        <v>161</v>
      </c>
      <c r="S34" s="150"/>
      <c r="T34" s="150"/>
    </row>
    <row r="35" spans="2:20" ht="24" customHeight="1" x14ac:dyDescent="0.2">
      <c r="B35" s="97" t="s">
        <v>132</v>
      </c>
      <c r="C35" s="98">
        <v>88177543.899999991</v>
      </c>
      <c r="D35" s="98">
        <v>74681200.099999994</v>
      </c>
      <c r="E35" s="98">
        <v>71297496.5</v>
      </c>
      <c r="F35" s="98">
        <v>87609666.190620929</v>
      </c>
      <c r="G35" s="99">
        <v>321765906.6906209</v>
      </c>
      <c r="J35" s="100" t="s">
        <v>132</v>
      </c>
      <c r="K35" s="151">
        <v>0.27404253237053799</v>
      </c>
      <c r="L35" s="102">
        <v>0.23209792755267339</v>
      </c>
      <c r="M35" s="102">
        <v>0.22158188613982899</v>
      </c>
      <c r="N35" s="152">
        <v>0.27227765393695963</v>
      </c>
      <c r="O35" s="102">
        <f>SUM(K35:L35)</f>
        <v>0.50614045992321133</v>
      </c>
      <c r="P35" s="106">
        <f>SUM(M35:N35)</f>
        <v>0.49385954007678862</v>
      </c>
      <c r="R35" s="88" t="s">
        <v>8</v>
      </c>
      <c r="S35" s="153"/>
      <c r="T35" s="150"/>
    </row>
    <row r="36" spans="2:20" ht="24" customHeight="1" x14ac:dyDescent="0.2">
      <c r="B36" s="97" t="s">
        <v>2</v>
      </c>
      <c r="C36" s="98">
        <v>121478.3018867925</v>
      </c>
      <c r="D36" s="98">
        <v>625627.70754716976</v>
      </c>
      <c r="E36" s="98">
        <v>322109.21698113205</v>
      </c>
      <c r="F36" s="98">
        <v>334266.27690443874</v>
      </c>
      <c r="G36" s="99">
        <v>1403481.5033195331</v>
      </c>
      <c r="J36" s="100" t="s">
        <v>162</v>
      </c>
      <c r="K36" s="102">
        <v>0.28132090476346322</v>
      </c>
      <c r="L36" s="102">
        <v>0.22529655260610448</v>
      </c>
      <c r="M36" s="102">
        <v>0.28276629701678885</v>
      </c>
      <c r="N36" s="102">
        <v>0.21061624561364345</v>
      </c>
      <c r="O36" s="102">
        <f t="shared" ref="O36:O38" si="14">SUM(K36:L36)</f>
        <v>0.50661745736956765</v>
      </c>
      <c r="P36" s="106">
        <f t="shared" ref="P36:P38" si="15">SUM(M36:N36)</f>
        <v>0.4933825426304323</v>
      </c>
      <c r="R36" s="112"/>
      <c r="S36" s="150"/>
      <c r="T36" s="150"/>
    </row>
    <row r="37" spans="2:20" ht="24" customHeight="1" x14ac:dyDescent="0.2">
      <c r="B37" s="97" t="s">
        <v>6</v>
      </c>
      <c r="C37" s="98">
        <v>857926.26999999397</v>
      </c>
      <c r="D37" s="98">
        <v>823376.15000001201</v>
      </c>
      <c r="E37" s="98">
        <v>961377.8299999811</v>
      </c>
      <c r="F37" s="98">
        <v>1148323.750000013</v>
      </c>
      <c r="G37" s="99">
        <v>3791004</v>
      </c>
      <c r="J37" s="100" t="s">
        <v>6</v>
      </c>
      <c r="K37" s="102">
        <v>0.22630582030512075</v>
      </c>
      <c r="L37" s="102">
        <v>0.21719210794818788</v>
      </c>
      <c r="M37" s="102">
        <v>0.25359451744181255</v>
      </c>
      <c r="N37" s="102">
        <v>0.30290755430487887</v>
      </c>
      <c r="O37" s="102">
        <f t="shared" si="14"/>
        <v>0.44349792825330864</v>
      </c>
      <c r="P37" s="106">
        <f t="shared" si="15"/>
        <v>0.55650207174669142</v>
      </c>
    </row>
    <row r="38" spans="2:20" ht="24" customHeight="1" x14ac:dyDescent="0.2">
      <c r="B38" s="138" t="s">
        <v>3</v>
      </c>
      <c r="C38" s="139">
        <v>24714665.879999999</v>
      </c>
      <c r="D38" s="139">
        <v>14969747.18</v>
      </c>
      <c r="E38" s="139">
        <v>13645638.899999999</v>
      </c>
      <c r="F38" s="139">
        <v>16668255.040000007</v>
      </c>
      <c r="G38" s="140">
        <v>69998307</v>
      </c>
      <c r="J38" s="120" t="s">
        <v>3</v>
      </c>
      <c r="K38" s="154">
        <v>0.35307519480435434</v>
      </c>
      <c r="L38" s="154">
        <v>0.21385870346835673</v>
      </c>
      <c r="M38" s="154">
        <v>0.19494241339294105</v>
      </c>
      <c r="N38" s="154">
        <v>0.23812368833434794</v>
      </c>
      <c r="O38" s="154">
        <f t="shared" si="14"/>
        <v>0.56693389827271101</v>
      </c>
      <c r="P38" s="155">
        <f t="shared" si="15"/>
        <v>0.43306610172728899</v>
      </c>
    </row>
    <row r="39" spans="2:20" ht="24" customHeight="1" x14ac:dyDescent="0.2">
      <c r="B39" s="125"/>
      <c r="C39" s="156"/>
      <c r="D39" s="156"/>
      <c r="E39" s="156"/>
      <c r="F39" s="156"/>
      <c r="G39" s="156"/>
      <c r="J39" s="125"/>
      <c r="K39" s="132"/>
      <c r="L39" s="132"/>
      <c r="M39" s="132"/>
      <c r="N39" s="132"/>
      <c r="O39" s="132"/>
      <c r="P39" s="132"/>
    </row>
    <row r="40" spans="2:20" ht="24" customHeight="1" x14ac:dyDescent="0.2">
      <c r="B40" s="88" t="s">
        <v>145</v>
      </c>
      <c r="C40" s="88" t="s">
        <v>71</v>
      </c>
      <c r="J40" s="88" t="s">
        <v>163</v>
      </c>
      <c r="K40" s="89"/>
    </row>
    <row r="41" spans="2:20" ht="24" customHeight="1" x14ac:dyDescent="0.2">
      <c r="B41" s="157" t="s">
        <v>100</v>
      </c>
      <c r="C41" s="134" t="s">
        <v>125</v>
      </c>
      <c r="D41" s="134" t="s">
        <v>126</v>
      </c>
      <c r="E41" s="134" t="s">
        <v>127</v>
      </c>
      <c r="F41" s="134" t="s">
        <v>128</v>
      </c>
      <c r="G41" s="135" t="s">
        <v>111</v>
      </c>
      <c r="J41" s="157" t="s">
        <v>100</v>
      </c>
      <c r="K41" s="134" t="s">
        <v>125</v>
      </c>
      <c r="L41" s="134" t="s">
        <v>126</v>
      </c>
      <c r="M41" s="134" t="s">
        <v>127</v>
      </c>
      <c r="N41" s="134" t="s">
        <v>128</v>
      </c>
      <c r="O41" s="94" t="s">
        <v>129</v>
      </c>
      <c r="P41" s="95" t="s">
        <v>130</v>
      </c>
    </row>
    <row r="42" spans="2:20" ht="24" customHeight="1" x14ac:dyDescent="0.2">
      <c r="B42" s="97" t="s">
        <v>132</v>
      </c>
      <c r="C42" s="98">
        <v>112824918.65258214</v>
      </c>
      <c r="D42" s="98">
        <v>99551754.36835666</v>
      </c>
      <c r="E42" s="98">
        <v>93762223.793471158</v>
      </c>
      <c r="F42" s="98">
        <v>106852737.48558997</v>
      </c>
      <c r="G42" s="99">
        <v>412991634.30000001</v>
      </c>
      <c r="J42" s="100" t="s">
        <v>132</v>
      </c>
      <c r="K42" s="151">
        <v>0.2731893561084226</v>
      </c>
      <c r="L42" s="102">
        <v>0.24105029279126167</v>
      </c>
      <c r="M42" s="102">
        <v>0.22703177499562044</v>
      </c>
      <c r="N42" s="152">
        <v>0.25872857610469513</v>
      </c>
      <c r="O42" s="158">
        <f>SUM(K42:L42)</f>
        <v>0.51423964889968432</v>
      </c>
      <c r="P42" s="159">
        <f>SUM(M42:N42)</f>
        <v>0.48576035110031557</v>
      </c>
      <c r="R42" s="88" t="s">
        <v>9</v>
      </c>
    </row>
    <row r="43" spans="2:20" ht="24" customHeight="1" x14ac:dyDescent="0.2">
      <c r="B43" s="97" t="s">
        <v>2</v>
      </c>
      <c r="C43" s="98" t="s">
        <v>45</v>
      </c>
      <c r="D43" s="98" t="s">
        <v>45</v>
      </c>
      <c r="E43" s="98" t="s">
        <v>45</v>
      </c>
      <c r="F43" s="98" t="s">
        <v>45</v>
      </c>
      <c r="G43" s="99" t="s">
        <v>45</v>
      </c>
      <c r="J43" s="100" t="s">
        <v>2</v>
      </c>
      <c r="K43" s="102" t="s">
        <v>45</v>
      </c>
      <c r="L43" s="102" t="s">
        <v>45</v>
      </c>
      <c r="M43" s="102" t="s">
        <v>45</v>
      </c>
      <c r="N43" s="102" t="s">
        <v>45</v>
      </c>
      <c r="O43" s="102"/>
      <c r="P43" s="106"/>
    </row>
    <row r="44" spans="2:20" ht="24" customHeight="1" x14ac:dyDescent="0.2">
      <c r="B44" s="97" t="s">
        <v>6</v>
      </c>
      <c r="C44" s="98">
        <v>423295.88</v>
      </c>
      <c r="D44" s="98">
        <v>937233.44749999198</v>
      </c>
      <c r="E44" s="98">
        <v>1127379.2249999619</v>
      </c>
      <c r="F44" s="98">
        <v>1078877.2299999809</v>
      </c>
      <c r="G44" s="99">
        <v>3566785.7824999345</v>
      </c>
      <c r="J44" s="100" t="s">
        <v>6</v>
      </c>
      <c r="K44" s="102">
        <v>0.11867712439498258</v>
      </c>
      <c r="L44" s="102">
        <v>0.26276695732567706</v>
      </c>
      <c r="M44" s="102">
        <v>0.31607707716323513</v>
      </c>
      <c r="N44" s="102">
        <v>0.30247884111610529</v>
      </c>
      <c r="O44" s="102"/>
      <c r="P44" s="106"/>
    </row>
    <row r="45" spans="2:20" ht="24" customHeight="1" x14ac:dyDescent="0.2">
      <c r="B45" s="138" t="s">
        <v>3</v>
      </c>
      <c r="C45" s="139">
        <v>28178526.665545948</v>
      </c>
      <c r="D45" s="139">
        <v>22261691.393446069</v>
      </c>
      <c r="E45" s="139">
        <v>19116641.463598963</v>
      </c>
      <c r="F45" s="139">
        <v>17073000.957409028</v>
      </c>
      <c r="G45" s="140">
        <v>86629860.480000004</v>
      </c>
      <c r="J45" s="120" t="s">
        <v>3</v>
      </c>
      <c r="K45" s="154">
        <v>0.32527498612388328</v>
      </c>
      <c r="L45" s="154">
        <v>0.25697480372354475</v>
      </c>
      <c r="M45" s="154">
        <v>0.22067034804947389</v>
      </c>
      <c r="N45" s="154">
        <v>0.19707986210309808</v>
      </c>
      <c r="O45" s="154">
        <f>SUM(K45:L45)</f>
        <v>0.58224978984742803</v>
      </c>
      <c r="P45" s="155">
        <f>SUM(M45:N45)</f>
        <v>0.41775021015257197</v>
      </c>
    </row>
    <row r="47" spans="2:20" ht="24" customHeight="1" x14ac:dyDescent="0.2">
      <c r="B47" s="88" t="s">
        <v>145</v>
      </c>
      <c r="C47" s="88" t="s">
        <v>72</v>
      </c>
      <c r="J47" s="88" t="s">
        <v>164</v>
      </c>
      <c r="K47" s="89"/>
    </row>
    <row r="48" spans="2:20" ht="24" customHeight="1" x14ac:dyDescent="0.2">
      <c r="B48" s="157" t="s">
        <v>100</v>
      </c>
      <c r="C48" s="134" t="s">
        <v>125</v>
      </c>
      <c r="D48" s="134" t="s">
        <v>126</v>
      </c>
      <c r="E48" s="134" t="s">
        <v>127</v>
      </c>
      <c r="F48" s="134" t="s">
        <v>128</v>
      </c>
      <c r="G48" s="135" t="s">
        <v>111</v>
      </c>
      <c r="J48" s="157" t="s">
        <v>100</v>
      </c>
      <c r="K48" s="134" t="s">
        <v>125</v>
      </c>
      <c r="L48" s="134" t="s">
        <v>126</v>
      </c>
      <c r="M48" s="134" t="s">
        <v>127</v>
      </c>
      <c r="N48" s="134" t="s">
        <v>128</v>
      </c>
      <c r="O48" s="94" t="s">
        <v>129</v>
      </c>
      <c r="P48" s="95" t="s">
        <v>130</v>
      </c>
    </row>
    <row r="49" spans="1:18" ht="24" customHeight="1" x14ac:dyDescent="0.2">
      <c r="B49" s="97" t="s">
        <v>132</v>
      </c>
      <c r="C49" s="98">
        <v>212314000</v>
      </c>
      <c r="D49" s="98">
        <v>170960000</v>
      </c>
      <c r="E49" s="98">
        <v>163094000</v>
      </c>
      <c r="F49" s="98">
        <v>196519000</v>
      </c>
      <c r="G49" s="99">
        <v>742887000</v>
      </c>
      <c r="J49" s="100" t="s">
        <v>132</v>
      </c>
      <c r="K49" s="101">
        <v>0.28579582089873695</v>
      </c>
      <c r="L49" s="102">
        <v>0.23012921211435924</v>
      </c>
      <c r="M49" s="102">
        <v>0.21954079153357106</v>
      </c>
      <c r="N49" s="152">
        <v>0.26453417545333274</v>
      </c>
      <c r="O49" s="158">
        <f>SUM(K49:L49)</f>
        <v>0.51592503301309622</v>
      </c>
      <c r="P49" s="159">
        <f>SUM(M49:N49)</f>
        <v>0.48407496698690378</v>
      </c>
      <c r="R49" s="88" t="s">
        <v>10</v>
      </c>
    </row>
    <row r="50" spans="1:18" ht="24" customHeight="1" x14ac:dyDescent="0.2">
      <c r="B50" s="97" t="s">
        <v>2</v>
      </c>
      <c r="C50" s="98" t="s">
        <v>45</v>
      </c>
      <c r="D50" s="98" t="s">
        <v>45</v>
      </c>
      <c r="E50" s="98" t="s">
        <v>45</v>
      </c>
      <c r="F50" s="98" t="s">
        <v>45</v>
      </c>
      <c r="G50" s="99" t="s">
        <v>45</v>
      </c>
      <c r="J50" s="100" t="s">
        <v>2</v>
      </c>
      <c r="K50" s="102" t="s">
        <v>45</v>
      </c>
      <c r="L50" s="102" t="s">
        <v>45</v>
      </c>
      <c r="M50" s="102" t="s">
        <v>45</v>
      </c>
      <c r="N50" s="102" t="s">
        <v>45</v>
      </c>
      <c r="O50" s="102"/>
      <c r="P50" s="106"/>
    </row>
    <row r="51" spans="1:18" ht="24" customHeight="1" x14ac:dyDescent="0.2">
      <c r="B51" s="97" t="s">
        <v>6</v>
      </c>
      <c r="C51" s="98" t="s">
        <v>45</v>
      </c>
      <c r="D51" s="98" t="s">
        <v>45</v>
      </c>
      <c r="E51" s="98" t="s">
        <v>45</v>
      </c>
      <c r="F51" s="98" t="s">
        <v>45</v>
      </c>
      <c r="G51" s="99" t="s">
        <v>45</v>
      </c>
      <c r="J51" s="100" t="s">
        <v>6</v>
      </c>
      <c r="K51" s="102" t="s">
        <v>45</v>
      </c>
      <c r="L51" s="102" t="s">
        <v>45</v>
      </c>
      <c r="M51" s="102" t="s">
        <v>45</v>
      </c>
      <c r="N51" s="102" t="s">
        <v>45</v>
      </c>
      <c r="O51" s="102"/>
      <c r="P51" s="106"/>
    </row>
    <row r="52" spans="1:18" ht="24" customHeight="1" x14ac:dyDescent="0.2">
      <c r="B52" s="138" t="s">
        <v>3</v>
      </c>
      <c r="C52" s="139">
        <v>4941389.2547169812</v>
      </c>
      <c r="D52" s="139">
        <v>3885296.1037735851</v>
      </c>
      <c r="E52" s="139">
        <v>3696836.4339622641</v>
      </c>
      <c r="F52" s="139">
        <v>2897288.3018867923</v>
      </c>
      <c r="G52" s="140">
        <v>15420810.094339624</v>
      </c>
      <c r="J52" s="120" t="s">
        <v>3</v>
      </c>
      <c r="K52" s="154">
        <v>0.32043642483677121</v>
      </c>
      <c r="L52" s="154">
        <v>0.25195149152376406</v>
      </c>
      <c r="M52" s="154">
        <v>0.2397303650940639</v>
      </c>
      <c r="N52" s="154">
        <v>0.18788171854540076</v>
      </c>
      <c r="O52" s="154">
        <f>SUM(K52:L52)</f>
        <v>0.57238791636053521</v>
      </c>
      <c r="P52" s="155">
        <f>SUM(M52:N52)</f>
        <v>0.42761208363946468</v>
      </c>
    </row>
    <row r="54" spans="1:18" ht="9" customHeight="1" x14ac:dyDescent="0.2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</row>
    <row r="55" spans="1:18" ht="24" customHeight="1" x14ac:dyDescent="0.2">
      <c r="J55" s="88" t="s">
        <v>165</v>
      </c>
      <c r="K55" s="89"/>
    </row>
    <row r="56" spans="1:18" ht="24" customHeight="1" x14ac:dyDescent="0.2">
      <c r="J56" s="157" t="s">
        <v>100</v>
      </c>
      <c r="K56" s="134" t="s">
        <v>125</v>
      </c>
      <c r="L56" s="134" t="s">
        <v>126</v>
      </c>
      <c r="M56" s="134" t="s">
        <v>127</v>
      </c>
      <c r="N56" s="134" t="s">
        <v>128</v>
      </c>
      <c r="O56" s="94" t="s">
        <v>129</v>
      </c>
      <c r="P56" s="95" t="s">
        <v>130</v>
      </c>
    </row>
    <row r="57" spans="1:18" ht="24" customHeight="1" x14ac:dyDescent="0.2">
      <c r="J57" s="100" t="s">
        <v>166</v>
      </c>
      <c r="K57" s="160">
        <v>0.24246978518195927</v>
      </c>
      <c r="L57" s="161">
        <v>0.25685897242902794</v>
      </c>
      <c r="M57" s="161">
        <v>0.23913488515564246</v>
      </c>
      <c r="N57" s="161">
        <v>0.26153635723337043</v>
      </c>
      <c r="O57" s="161">
        <f>SUM(K57:L57)</f>
        <v>0.49932875761098722</v>
      </c>
      <c r="P57" s="162">
        <f>SUM(M57:N57)</f>
        <v>0.50067124238901295</v>
      </c>
    </row>
    <row r="58" spans="1:18" ht="24" customHeight="1" x14ac:dyDescent="0.2">
      <c r="J58" s="120" t="s">
        <v>167</v>
      </c>
      <c r="K58" s="163">
        <v>0.25262170827447389</v>
      </c>
      <c r="L58" s="163">
        <v>0.24817795252772254</v>
      </c>
      <c r="M58" s="163">
        <v>0.23307324282174838</v>
      </c>
      <c r="N58" s="163">
        <v>0.26612709637605514</v>
      </c>
      <c r="O58" s="164">
        <f>SUM(K58:L58)</f>
        <v>0.5007996608021964</v>
      </c>
      <c r="P58" s="165">
        <f>SUM(M58:N58)</f>
        <v>0.49920033919780349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B534-F9B6-4C40-ABD3-1A52A55139A4}">
  <dimension ref="A1:L43"/>
  <sheetViews>
    <sheetView zoomScale="90" zoomScaleNormal="90" workbookViewId="0">
      <selection activeCell="F48" sqref="F48"/>
    </sheetView>
  </sheetViews>
  <sheetFormatPr defaultRowHeight="14.25" x14ac:dyDescent="0.2"/>
  <cols>
    <col min="1" max="1" width="18" style="169" bestFit="1" customWidth="1"/>
    <col min="2" max="3" width="9" style="169"/>
    <col min="4" max="4" width="9" style="169" hidden="1" customWidth="1"/>
    <col min="5" max="16384" width="9" style="169"/>
  </cols>
  <sheetData>
    <row r="1" spans="1:11" ht="30" customHeight="1" x14ac:dyDescent="0.2">
      <c r="D1" s="658" t="s">
        <v>169</v>
      </c>
      <c r="E1" s="658"/>
      <c r="F1" s="658" t="s">
        <v>170</v>
      </c>
      <c r="G1" s="658"/>
      <c r="H1" s="660" t="s">
        <v>171</v>
      </c>
      <c r="I1" s="661"/>
      <c r="J1" s="661" t="s">
        <v>172</v>
      </c>
      <c r="K1" s="661"/>
    </row>
    <row r="2" spans="1:11" ht="24.95" customHeight="1" x14ac:dyDescent="0.2">
      <c r="A2" s="169" t="s">
        <v>173</v>
      </c>
      <c r="D2" s="170" t="s">
        <v>174</v>
      </c>
      <c r="E2" s="170" t="s">
        <v>175</v>
      </c>
      <c r="F2" s="170" t="s">
        <v>174</v>
      </c>
      <c r="G2" s="170" t="s">
        <v>175</v>
      </c>
      <c r="H2" s="171" t="s">
        <v>174</v>
      </c>
      <c r="I2" s="172" t="s">
        <v>175</v>
      </c>
      <c r="J2" s="172" t="s">
        <v>174</v>
      </c>
      <c r="K2" s="172" t="s">
        <v>175</v>
      </c>
    </row>
    <row r="3" spans="1:11" ht="24.95" customHeight="1" x14ac:dyDescent="0.2">
      <c r="A3" s="173" t="s">
        <v>176</v>
      </c>
      <c r="B3" s="656" t="s">
        <v>177</v>
      </c>
      <c r="C3" s="174" t="s">
        <v>178</v>
      </c>
      <c r="D3" s="175">
        <v>497264000</v>
      </c>
      <c r="E3" s="175">
        <v>115276000</v>
      </c>
      <c r="F3" s="175">
        <f t="shared" ref="F3:G7" si="0">H3+J3</f>
        <v>393807253</v>
      </c>
      <c r="G3" s="175">
        <f t="shared" si="0"/>
        <v>91162158</v>
      </c>
      <c r="H3" s="176">
        <v>385891000</v>
      </c>
      <c r="I3" s="177">
        <v>89581000</v>
      </c>
      <c r="J3" s="177">
        <v>7916253</v>
      </c>
      <c r="K3" s="177">
        <v>1581158</v>
      </c>
    </row>
    <row r="4" spans="1:11" ht="24.95" customHeight="1" x14ac:dyDescent="0.2">
      <c r="A4" s="173" t="s">
        <v>179</v>
      </c>
      <c r="B4" s="656"/>
      <c r="C4" s="174" t="s">
        <v>180</v>
      </c>
      <c r="D4" s="175">
        <v>301872000</v>
      </c>
      <c r="E4" s="175">
        <v>72095000</v>
      </c>
      <c r="F4" s="175">
        <f t="shared" si="0"/>
        <v>246390641</v>
      </c>
      <c r="G4" s="175">
        <f t="shared" si="0"/>
        <v>60438349</v>
      </c>
      <c r="H4" s="176">
        <v>240990000</v>
      </c>
      <c r="I4" s="177">
        <v>59114000</v>
      </c>
      <c r="J4" s="177">
        <v>5400641</v>
      </c>
      <c r="K4" s="177">
        <v>1324349</v>
      </c>
    </row>
    <row r="5" spans="1:11" ht="24.95" customHeight="1" x14ac:dyDescent="0.2">
      <c r="A5" s="173"/>
      <c r="B5" s="656"/>
      <c r="C5" s="174" t="s">
        <v>181</v>
      </c>
      <c r="D5" s="175">
        <f>SUM(D3:D4)</f>
        <v>799136000</v>
      </c>
      <c r="E5" s="175">
        <f>SUM(E3:E4)</f>
        <v>187371000</v>
      </c>
      <c r="F5" s="175">
        <f>SUM(F3:F4)</f>
        <v>640197894</v>
      </c>
      <c r="G5" s="175">
        <f t="shared" ref="G5:K5" si="1">SUM(G3:G4)</f>
        <v>151600507</v>
      </c>
      <c r="H5" s="176">
        <f t="shared" si="1"/>
        <v>626881000</v>
      </c>
      <c r="I5" s="177">
        <f t="shared" si="1"/>
        <v>148695000</v>
      </c>
      <c r="J5" s="177">
        <f t="shared" si="1"/>
        <v>13316894</v>
      </c>
      <c r="K5" s="177">
        <f t="shared" si="1"/>
        <v>2905507</v>
      </c>
    </row>
    <row r="6" spans="1:11" ht="24.95" customHeight="1" x14ac:dyDescent="0.2">
      <c r="A6" s="178" t="s">
        <v>182</v>
      </c>
      <c r="B6" s="657" t="s">
        <v>183</v>
      </c>
      <c r="C6" s="179" t="s">
        <v>178</v>
      </c>
      <c r="D6" s="180">
        <v>409234560</v>
      </c>
      <c r="E6" s="180">
        <v>88504000</v>
      </c>
      <c r="F6" s="180">
        <f t="shared" si="0"/>
        <v>328264917</v>
      </c>
      <c r="G6" s="180">
        <f t="shared" si="0"/>
        <v>109976000</v>
      </c>
      <c r="H6" s="176">
        <v>320925000</v>
      </c>
      <c r="I6" s="177">
        <v>68832000</v>
      </c>
      <c r="J6" s="177">
        <v>7339917</v>
      </c>
      <c r="K6" s="177">
        <v>41144000</v>
      </c>
    </row>
    <row r="7" spans="1:11" ht="24.95" customHeight="1" x14ac:dyDescent="0.2">
      <c r="A7" s="178" t="s">
        <v>184</v>
      </c>
      <c r="B7" s="657"/>
      <c r="C7" s="179" t="s">
        <v>180</v>
      </c>
      <c r="D7" s="180">
        <v>249438208</v>
      </c>
      <c r="E7" s="180">
        <v>55315000</v>
      </c>
      <c r="F7" s="180">
        <f t="shared" si="0"/>
        <v>184876098</v>
      </c>
      <c r="G7" s="180">
        <f>I7+K7</f>
        <v>2447472</v>
      </c>
      <c r="H7" s="176">
        <v>183001000</v>
      </c>
      <c r="I7" s="177">
        <v>1911154</v>
      </c>
      <c r="J7" s="177">
        <v>1875098</v>
      </c>
      <c r="K7" s="177">
        <v>536318</v>
      </c>
    </row>
    <row r="8" spans="1:11" ht="24.95" customHeight="1" x14ac:dyDescent="0.2">
      <c r="A8" s="178"/>
      <c r="B8" s="657"/>
      <c r="C8" s="179" t="s">
        <v>185</v>
      </c>
      <c r="D8" s="180">
        <f>SUM(D6:D7)</f>
        <v>658672768</v>
      </c>
      <c r="E8" s="180">
        <f t="shared" ref="E8" si="2">SUM(E6:E7)</f>
        <v>143819000</v>
      </c>
      <c r="F8" s="180">
        <f>SUM(F6:F7)</f>
        <v>513141015</v>
      </c>
      <c r="G8" s="180">
        <f t="shared" ref="G8:K8" si="3">SUM(G6:G7)</f>
        <v>112423472</v>
      </c>
      <c r="H8" s="176">
        <f t="shared" si="3"/>
        <v>503926000</v>
      </c>
      <c r="I8" s="177">
        <f t="shared" si="3"/>
        <v>70743154</v>
      </c>
      <c r="J8" s="177">
        <f t="shared" si="3"/>
        <v>9215015</v>
      </c>
      <c r="K8" s="177">
        <f t="shared" si="3"/>
        <v>41680318</v>
      </c>
    </row>
    <row r="9" spans="1:11" ht="24.95" customHeight="1" x14ac:dyDescent="0.2">
      <c r="A9" s="173" t="s">
        <v>186</v>
      </c>
      <c r="B9" s="656" t="s">
        <v>187</v>
      </c>
      <c r="C9" s="174" t="s">
        <v>178</v>
      </c>
      <c r="D9" s="175">
        <v>218785844.22227794</v>
      </c>
      <c r="E9" s="175">
        <v>47378544.952916138</v>
      </c>
      <c r="F9" s="175">
        <f>H9+J9</f>
        <v>214621809.19999999</v>
      </c>
      <c r="G9" s="175">
        <f>I9+K9</f>
        <v>48124680.799999997</v>
      </c>
      <c r="H9" s="176">
        <v>211549106.19999999</v>
      </c>
      <c r="I9" s="177">
        <v>47418142.799999997</v>
      </c>
      <c r="J9" s="177">
        <v>3072703</v>
      </c>
      <c r="K9" s="177">
        <v>706538</v>
      </c>
    </row>
    <row r="10" spans="1:11" ht="24.95" customHeight="1" x14ac:dyDescent="0.2">
      <c r="A10" s="173" t="s">
        <v>188</v>
      </c>
      <c r="B10" s="656"/>
      <c r="C10" s="174" t="s">
        <v>180</v>
      </c>
      <c r="D10" s="175">
        <v>201039521.38157526</v>
      </c>
      <c r="E10" s="175">
        <v>45126192.567257158</v>
      </c>
      <c r="F10" s="175">
        <f>H10+J10</f>
        <v>152263450.90000001</v>
      </c>
      <c r="G10" s="175">
        <f>I10+K10</f>
        <v>30883669.800000001</v>
      </c>
      <c r="H10" s="176">
        <v>151482788.90000001</v>
      </c>
      <c r="I10" s="177">
        <v>30642606.800000001</v>
      </c>
      <c r="J10" s="177">
        <v>780662</v>
      </c>
      <c r="K10" s="177">
        <v>241063</v>
      </c>
    </row>
    <row r="11" spans="1:11" ht="24.95" customHeight="1" x14ac:dyDescent="0.2">
      <c r="A11" s="173"/>
      <c r="B11" s="656"/>
      <c r="C11" s="174" t="s">
        <v>181</v>
      </c>
      <c r="D11" s="175">
        <f>SUM(D9:D10)</f>
        <v>419825365.60385323</v>
      </c>
      <c r="E11" s="175">
        <f t="shared" ref="E11" si="4">SUM(E9:E10)</f>
        <v>92504737.520173296</v>
      </c>
      <c r="F11" s="175">
        <f>SUM(F9:F10)</f>
        <v>366885260.10000002</v>
      </c>
      <c r="G11" s="175">
        <f t="shared" ref="G11:K11" si="5">SUM(G9:G10)</f>
        <v>79008350.599999994</v>
      </c>
      <c r="H11" s="176">
        <f t="shared" si="5"/>
        <v>363031895.10000002</v>
      </c>
      <c r="I11" s="177">
        <f t="shared" si="5"/>
        <v>78060749.599999994</v>
      </c>
      <c r="J11" s="177">
        <f t="shared" si="5"/>
        <v>3853365</v>
      </c>
      <c r="K11" s="177">
        <f t="shared" si="5"/>
        <v>947601</v>
      </c>
    </row>
    <row r="12" spans="1:11" ht="24.95" customHeight="1" x14ac:dyDescent="0.2">
      <c r="A12" s="178" t="s">
        <v>189</v>
      </c>
      <c r="B12" s="657" t="s">
        <v>190</v>
      </c>
      <c r="C12" s="179" t="s">
        <v>178</v>
      </c>
      <c r="D12" s="180">
        <v>196637166.11942858</v>
      </c>
      <c r="E12" s="180">
        <v>43927338.359893769</v>
      </c>
      <c r="F12" s="180">
        <f t="shared" ref="F12:G13" si="6">H12+J12</f>
        <v>169218575.90000001</v>
      </c>
      <c r="G12" s="180">
        <f t="shared" si="6"/>
        <v>34366671.700000003</v>
      </c>
      <c r="H12" s="176">
        <v>165464863.90000001</v>
      </c>
      <c r="I12" s="177">
        <v>33320358.699999999</v>
      </c>
      <c r="J12" s="177">
        <v>3753712</v>
      </c>
      <c r="K12" s="177">
        <v>1046313</v>
      </c>
    </row>
    <row r="13" spans="1:11" ht="24.95" customHeight="1" x14ac:dyDescent="0.2">
      <c r="A13" s="178" t="s">
        <v>191</v>
      </c>
      <c r="B13" s="657"/>
      <c r="C13" s="179" t="s">
        <v>180</v>
      </c>
      <c r="D13" s="180">
        <v>129695099.75401726</v>
      </c>
      <c r="E13" s="180">
        <v>29199126.457360774</v>
      </c>
      <c r="F13" s="180">
        <f t="shared" si="6"/>
        <v>110512906.40000001</v>
      </c>
      <c r="G13" s="180">
        <f t="shared" si="6"/>
        <v>23890965.800000001</v>
      </c>
      <c r="H13" s="176">
        <v>108691919.40000001</v>
      </c>
      <c r="I13" s="177">
        <v>23139464.800000001</v>
      </c>
      <c r="J13" s="177">
        <v>1820987</v>
      </c>
      <c r="K13" s="177">
        <v>751501</v>
      </c>
    </row>
    <row r="14" spans="1:11" ht="24.95" customHeight="1" x14ac:dyDescent="0.2">
      <c r="A14" s="178"/>
      <c r="B14" s="657"/>
      <c r="C14" s="179" t="s">
        <v>185</v>
      </c>
      <c r="D14" s="180">
        <f>SUM(D12:D13)</f>
        <v>326332265.87344587</v>
      </c>
      <c r="E14" s="180">
        <f t="shared" ref="E14" si="7">SUM(E12:E13)</f>
        <v>73126464.817254543</v>
      </c>
      <c r="F14" s="180">
        <f>SUM(F12:F13)</f>
        <v>279731482.30000001</v>
      </c>
      <c r="G14" s="180">
        <f t="shared" ref="G14" si="8">SUM(G12:G13)</f>
        <v>58257637.5</v>
      </c>
      <c r="H14" s="176">
        <f>SUM(H12:H13)</f>
        <v>274156783.30000001</v>
      </c>
      <c r="I14" s="177">
        <f t="shared" ref="I14:K14" si="9">SUM(I12:I13)</f>
        <v>56459823.5</v>
      </c>
      <c r="J14" s="177">
        <f t="shared" si="9"/>
        <v>5574699</v>
      </c>
      <c r="K14" s="177">
        <f t="shared" si="9"/>
        <v>1797814</v>
      </c>
    </row>
    <row r="15" spans="1:11" ht="24.95" customHeight="1" x14ac:dyDescent="0.2">
      <c r="A15" s="169" t="s">
        <v>192</v>
      </c>
      <c r="B15" s="658" t="s">
        <v>193</v>
      </c>
      <c r="C15" s="170" t="s">
        <v>178</v>
      </c>
      <c r="D15" s="181">
        <f t="shared" ref="D15:G17" si="10">D12*(1+$C$19)</f>
        <v>153376989.5731543</v>
      </c>
      <c r="E15" s="181">
        <f t="shared" si="10"/>
        <v>34263323.920717143</v>
      </c>
      <c r="F15" s="181">
        <f t="shared" si="10"/>
        <v>131990489.20200001</v>
      </c>
      <c r="G15" s="181">
        <f t="shared" si="10"/>
        <v>26806003.926000003</v>
      </c>
      <c r="H15" s="182"/>
      <c r="I15" s="181"/>
      <c r="J15" s="181"/>
      <c r="K15" s="181"/>
    </row>
    <row r="16" spans="1:11" ht="24.95" customHeight="1" x14ac:dyDescent="0.2">
      <c r="A16" s="169" t="s">
        <v>194</v>
      </c>
      <c r="B16" s="658"/>
      <c r="C16" s="170" t="s">
        <v>180</v>
      </c>
      <c r="D16" s="181">
        <f t="shared" si="10"/>
        <v>101162177.80813347</v>
      </c>
      <c r="E16" s="181">
        <f t="shared" si="10"/>
        <v>22775318.636741403</v>
      </c>
      <c r="F16" s="181">
        <f t="shared" si="10"/>
        <v>86200066.992000014</v>
      </c>
      <c r="G16" s="181">
        <f t="shared" si="10"/>
        <v>18634953.324000001</v>
      </c>
      <c r="H16" s="182"/>
      <c r="I16" s="181"/>
      <c r="J16" s="181"/>
      <c r="K16" s="181"/>
    </row>
    <row r="17" spans="2:12" ht="24.95" customHeight="1" x14ac:dyDescent="0.2">
      <c r="B17" s="658"/>
      <c r="C17" s="170" t="s">
        <v>185</v>
      </c>
      <c r="D17" s="181">
        <f>D14*(1+$C$19)</f>
        <v>254539167.38128778</v>
      </c>
      <c r="E17" s="181">
        <f t="shared" si="10"/>
        <v>57038642.557458542</v>
      </c>
      <c r="F17" s="181">
        <f t="shared" si="10"/>
        <v>218190556.19400001</v>
      </c>
      <c r="G17" s="181">
        <f t="shared" si="10"/>
        <v>45440957.25</v>
      </c>
      <c r="H17" s="182"/>
      <c r="I17" s="181"/>
      <c r="J17" s="181"/>
      <c r="K17" s="181"/>
    </row>
    <row r="18" spans="2:12" x14ac:dyDescent="0.2">
      <c r="H18" s="183"/>
    </row>
    <row r="19" spans="2:12" x14ac:dyDescent="0.2">
      <c r="C19" s="184">
        <v>-0.22</v>
      </c>
      <c r="D19" s="185"/>
      <c r="H19" s="183"/>
    </row>
    <row r="20" spans="2:12" x14ac:dyDescent="0.2">
      <c r="H20" s="183"/>
    </row>
    <row r="21" spans="2:12" x14ac:dyDescent="0.2">
      <c r="E21" s="169" t="s">
        <v>195</v>
      </c>
      <c r="H21" s="183"/>
      <c r="L21" s="169" t="s">
        <v>209</v>
      </c>
    </row>
    <row r="22" spans="2:12" x14ac:dyDescent="0.2">
      <c r="B22" s="655" t="s">
        <v>196</v>
      </c>
      <c r="C22" s="186" t="s">
        <v>92</v>
      </c>
      <c r="D22" s="187">
        <f>D6/D3-1</f>
        <v>-0.17702757488979692</v>
      </c>
      <c r="E22" s="187">
        <f t="shared" ref="E22:K30" si="11">E6/E3-1</f>
        <v>-0.23224261771747801</v>
      </c>
      <c r="F22" s="187">
        <f t="shared" si="11"/>
        <v>-0.16643252632017924</v>
      </c>
      <c r="G22" s="187">
        <f t="shared" si="11"/>
        <v>0.20637776038605837</v>
      </c>
      <c r="H22" s="188">
        <f t="shared" si="11"/>
        <v>-0.16835323964539206</v>
      </c>
      <c r="I22" s="189">
        <f t="shared" si="11"/>
        <v>-0.23162277715140489</v>
      </c>
      <c r="J22" s="189">
        <f t="shared" si="11"/>
        <v>-7.2804141050064941E-2</v>
      </c>
      <c r="K22" s="189">
        <f t="shared" si="11"/>
        <v>25.021434923012123</v>
      </c>
      <c r="L22" s="169" t="s">
        <v>205</v>
      </c>
    </row>
    <row r="23" spans="2:12" x14ac:dyDescent="0.2">
      <c r="B23" s="655"/>
      <c r="C23" s="186" t="s">
        <v>93</v>
      </c>
      <c r="D23" s="187">
        <f t="shared" ref="D23:G29" si="12">D7/D4-1</f>
        <v>-0.17369544707690676</v>
      </c>
      <c r="E23" s="187">
        <f t="shared" si="12"/>
        <v>-0.23274845689714962</v>
      </c>
      <c r="F23" s="187">
        <f t="shared" si="12"/>
        <v>-0.2496626606852328</v>
      </c>
      <c r="G23" s="187">
        <f t="shared" si="12"/>
        <v>-0.95950465159132658</v>
      </c>
      <c r="H23" s="188">
        <f t="shared" si="11"/>
        <v>-0.24062824183576081</v>
      </c>
      <c r="I23" s="189">
        <f t="shared" si="11"/>
        <v>-0.96767002740467567</v>
      </c>
      <c r="J23" s="189">
        <f t="shared" si="11"/>
        <v>-0.65280084345543421</v>
      </c>
      <c r="K23" s="189">
        <f t="shared" si="11"/>
        <v>-0.59503272928812567</v>
      </c>
      <c r="L23" s="169" t="s">
        <v>204</v>
      </c>
    </row>
    <row r="24" spans="2:12" x14ac:dyDescent="0.2">
      <c r="B24" s="655"/>
      <c r="C24" s="186" t="s">
        <v>185</v>
      </c>
      <c r="D24" s="187">
        <f t="shared" si="12"/>
        <v>-0.17576887038001043</v>
      </c>
      <c r="E24" s="187">
        <f t="shared" si="12"/>
        <v>-0.23243725016144445</v>
      </c>
      <c r="F24" s="187">
        <f t="shared" si="12"/>
        <v>-0.19846500619697449</v>
      </c>
      <c r="G24" s="187">
        <f t="shared" si="12"/>
        <v>-0.25842284946975802</v>
      </c>
      <c r="H24" s="188">
        <f t="shared" si="11"/>
        <v>-0.1961377039661435</v>
      </c>
      <c r="I24" s="189">
        <f t="shared" si="11"/>
        <v>-0.5242398601163456</v>
      </c>
      <c r="J24" s="189">
        <f t="shared" si="11"/>
        <v>-0.30802069912098118</v>
      </c>
      <c r="K24" s="189">
        <f t="shared" si="11"/>
        <v>13.345282251944324</v>
      </c>
    </row>
    <row r="25" spans="2:12" x14ac:dyDescent="0.2">
      <c r="B25" s="655" t="s">
        <v>197</v>
      </c>
      <c r="C25" s="186" t="s">
        <v>92</v>
      </c>
      <c r="D25" s="187">
        <f t="shared" si="12"/>
        <v>-0.46537788933984969</v>
      </c>
      <c r="E25" s="187">
        <f t="shared" si="12"/>
        <v>-0.46467340512387989</v>
      </c>
      <c r="F25" s="187">
        <f t="shared" si="12"/>
        <v>-0.34619327840020142</v>
      </c>
      <c r="G25" s="187">
        <f t="shared" si="12"/>
        <v>-0.56240742707499813</v>
      </c>
      <c r="H25" s="188">
        <f t="shared" si="11"/>
        <v>-0.34081450120744727</v>
      </c>
      <c r="I25" s="189">
        <f t="shared" si="11"/>
        <v>-0.31110322524407252</v>
      </c>
      <c r="J25" s="189">
        <f t="shared" si="11"/>
        <v>-0.58137087926198627</v>
      </c>
      <c r="K25" s="189">
        <f t="shared" si="11"/>
        <v>-0.98282767839782226</v>
      </c>
      <c r="L25" s="169" t="s">
        <v>203</v>
      </c>
    </row>
    <row r="26" spans="2:12" x14ac:dyDescent="0.2">
      <c r="B26" s="655"/>
      <c r="C26" s="186" t="s">
        <v>93</v>
      </c>
      <c r="D26" s="187">
        <f t="shared" si="12"/>
        <v>-0.1940307662025248</v>
      </c>
      <c r="E26" s="187">
        <f t="shared" si="12"/>
        <v>-0.18419610291499311</v>
      </c>
      <c r="F26" s="187">
        <f t="shared" si="12"/>
        <v>-0.17640272297395632</v>
      </c>
      <c r="G26" s="187">
        <f t="shared" si="12"/>
        <v>11.618599845064622</v>
      </c>
      <c r="H26" s="188">
        <f t="shared" si="11"/>
        <v>-0.17222972060261965</v>
      </c>
      <c r="I26" s="189">
        <f t="shared" si="11"/>
        <v>15.033562339821909</v>
      </c>
      <c r="J26" s="189">
        <f t="shared" si="11"/>
        <v>-0.58366869358294871</v>
      </c>
      <c r="K26" s="189">
        <f t="shared" si="11"/>
        <v>-0.55052226477574873</v>
      </c>
    </row>
    <row r="27" spans="2:12" x14ac:dyDescent="0.2">
      <c r="B27" s="655"/>
      <c r="C27" s="186" t="s">
        <v>185</v>
      </c>
      <c r="D27" s="187">
        <f t="shared" si="12"/>
        <v>-0.36261921548902831</v>
      </c>
      <c r="E27" s="187">
        <f t="shared" si="12"/>
        <v>-0.35679751965892337</v>
      </c>
      <c r="F27" s="187">
        <f t="shared" si="12"/>
        <v>-0.28502059010036451</v>
      </c>
      <c r="G27" s="187">
        <f t="shared" si="12"/>
        <v>-0.29722548864173137</v>
      </c>
      <c r="H27" s="188">
        <f t="shared" si="11"/>
        <v>-0.27959284676718399</v>
      </c>
      <c r="I27" s="189">
        <f t="shared" si="11"/>
        <v>0.10343892216058093</v>
      </c>
      <c r="J27" s="189">
        <f t="shared" si="11"/>
        <v>-0.58183844518972561</v>
      </c>
      <c r="K27" s="189">
        <f t="shared" si="11"/>
        <v>-0.97726502470542576</v>
      </c>
    </row>
    <row r="28" spans="2:12" x14ac:dyDescent="0.2">
      <c r="B28" s="659" t="s">
        <v>198</v>
      </c>
      <c r="C28" s="190" t="s">
        <v>92</v>
      </c>
      <c r="D28" s="191">
        <f t="shared" si="12"/>
        <v>-0.10123451168233333</v>
      </c>
      <c r="E28" s="191">
        <f t="shared" si="12"/>
        <v>-7.2843237301865482E-2</v>
      </c>
      <c r="F28" s="191">
        <f t="shared" si="12"/>
        <v>-0.21154995137372079</v>
      </c>
      <c r="G28" s="191">
        <f t="shared" si="12"/>
        <v>-0.28588260475277782</v>
      </c>
      <c r="H28" s="192">
        <f t="shared" si="11"/>
        <v>-0.21784181993390994</v>
      </c>
      <c r="I28" s="193">
        <f t="shared" si="11"/>
        <v>-0.29730780809913959</v>
      </c>
      <c r="J28" s="193">
        <f t="shared" si="11"/>
        <v>0.22163189868985067</v>
      </c>
      <c r="K28" s="193">
        <f t="shared" si="11"/>
        <v>0.48090123956531716</v>
      </c>
      <c r="L28" s="169" t="s">
        <v>202</v>
      </c>
    </row>
    <row r="29" spans="2:12" x14ac:dyDescent="0.2">
      <c r="B29" s="659"/>
      <c r="C29" s="190" t="s">
        <v>93</v>
      </c>
      <c r="D29" s="191">
        <f t="shared" si="12"/>
        <v>-0.35487759390426266</v>
      </c>
      <c r="E29" s="191">
        <f t="shared" si="12"/>
        <v>-0.35294504596545129</v>
      </c>
      <c r="F29" s="191">
        <f t="shared" si="12"/>
        <v>-0.27419938437767277</v>
      </c>
      <c r="G29" s="191">
        <f t="shared" si="12"/>
        <v>-0.22642076039810533</v>
      </c>
      <c r="H29" s="192">
        <f t="shared" si="11"/>
        <v>-0.28248007454000601</v>
      </c>
      <c r="I29" s="193">
        <f t="shared" si="11"/>
        <v>-0.24485978131599428</v>
      </c>
      <c r="J29" s="193">
        <f>J13/J10-1</f>
        <v>1.3326189823508767</v>
      </c>
      <c r="K29" s="193">
        <f t="shared" si="11"/>
        <v>2.1174464766471837</v>
      </c>
    </row>
    <row r="30" spans="2:12" x14ac:dyDescent="0.2">
      <c r="B30" s="659"/>
      <c r="C30" s="190" t="s">
        <v>185</v>
      </c>
      <c r="D30" s="191">
        <f>D14/D11-1</f>
        <v>-0.22269521422540095</v>
      </c>
      <c r="E30" s="191">
        <f>E14/E11-1</f>
        <v>-0.20948411100234476</v>
      </c>
      <c r="F30" s="191">
        <f>F14/F11-1</f>
        <v>-0.23755050223670737</v>
      </c>
      <c r="G30" s="191">
        <f>G14/G11-1</f>
        <v>-0.2626394924386638</v>
      </c>
      <c r="H30" s="192">
        <f t="shared" si="11"/>
        <v>-0.24481350812307734</v>
      </c>
      <c r="I30" s="193">
        <f t="shared" si="11"/>
        <v>-0.27671942955566997</v>
      </c>
      <c r="J30" s="193">
        <f t="shared" si="11"/>
        <v>0.44670930472457182</v>
      </c>
      <c r="K30" s="193">
        <f t="shared" si="11"/>
        <v>0.89722678637949937</v>
      </c>
    </row>
    <row r="31" spans="2:12" x14ac:dyDescent="0.2">
      <c r="B31" s="655" t="s">
        <v>199</v>
      </c>
      <c r="C31" s="186" t="s">
        <v>92</v>
      </c>
      <c r="D31" s="194">
        <f t="shared" ref="D31:G33" si="13">D15/D12-1</f>
        <v>-0.21999999999999997</v>
      </c>
      <c r="E31" s="194">
        <f t="shared" si="13"/>
        <v>-0.21999999999999997</v>
      </c>
      <c r="F31" s="194">
        <f t="shared" si="13"/>
        <v>-0.21999999999999997</v>
      </c>
      <c r="G31" s="194">
        <f t="shared" si="13"/>
        <v>-0.21999999999999997</v>
      </c>
      <c r="H31" s="183"/>
    </row>
    <row r="32" spans="2:12" x14ac:dyDescent="0.2">
      <c r="B32" s="655"/>
      <c r="C32" s="186" t="s">
        <v>93</v>
      </c>
      <c r="D32" s="194">
        <f t="shared" si="13"/>
        <v>-0.21999999999999997</v>
      </c>
      <c r="E32" s="194">
        <f t="shared" si="13"/>
        <v>-0.21999999999999997</v>
      </c>
      <c r="F32" s="194">
        <f t="shared" si="13"/>
        <v>-0.21999999999999997</v>
      </c>
      <c r="G32" s="194">
        <f t="shared" si="13"/>
        <v>-0.21999999999999997</v>
      </c>
    </row>
    <row r="33" spans="2:7" x14ac:dyDescent="0.2">
      <c r="B33" s="655"/>
      <c r="C33" s="186" t="s">
        <v>185</v>
      </c>
      <c r="D33" s="194">
        <f>D17/D14-1</f>
        <v>-0.21999999999999997</v>
      </c>
      <c r="E33" s="194">
        <f t="shared" si="13"/>
        <v>-0.21999999999999997</v>
      </c>
      <c r="F33" s="194">
        <f t="shared" si="13"/>
        <v>-0.21999999999999997</v>
      </c>
      <c r="G33" s="194">
        <f t="shared" si="13"/>
        <v>-0.21999999999999997</v>
      </c>
    </row>
    <row r="39" spans="2:7" ht="16.5" x14ac:dyDescent="0.2">
      <c r="B39" s="195" t="s">
        <v>201</v>
      </c>
      <c r="C39" s="196"/>
      <c r="D39" s="2"/>
    </row>
    <row r="40" spans="2:7" ht="16.5" x14ac:dyDescent="0.2">
      <c r="B40" s="1" t="s">
        <v>8</v>
      </c>
      <c r="C40" s="2"/>
      <c r="D40" s="2"/>
    </row>
    <row r="41" spans="2:7" ht="16.5" x14ac:dyDescent="0.2">
      <c r="B41" s="195" t="s">
        <v>9</v>
      </c>
      <c r="C41" s="196"/>
      <c r="D41" s="2"/>
    </row>
    <row r="42" spans="2:7" ht="16.5" x14ac:dyDescent="0.2">
      <c r="B42" s="1" t="s">
        <v>200</v>
      </c>
      <c r="C42" s="2"/>
      <c r="D42" s="2"/>
    </row>
    <row r="43" spans="2:7" ht="16.5" x14ac:dyDescent="0.2">
      <c r="B43" s="1" t="s">
        <v>10</v>
      </c>
      <c r="C43" s="2"/>
      <c r="D43" s="2"/>
    </row>
  </sheetData>
  <mergeCells count="13">
    <mergeCell ref="B6:B8"/>
    <mergeCell ref="D1:E1"/>
    <mergeCell ref="F1:G1"/>
    <mergeCell ref="H1:I1"/>
    <mergeCell ref="J1:K1"/>
    <mergeCell ref="B3:B5"/>
    <mergeCell ref="B31:B33"/>
    <mergeCell ref="B9:B11"/>
    <mergeCell ref="B12:B14"/>
    <mergeCell ref="B15:B17"/>
    <mergeCell ref="B22:B24"/>
    <mergeCell ref="B25:B27"/>
    <mergeCell ref="B28:B30"/>
  </mergeCells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4F6A-B3A9-4823-BC88-B5D1EFFBE376}">
  <sheetPr>
    <tabColor theme="0" tint="-0.499984740745262"/>
  </sheetPr>
  <dimension ref="A1:K24"/>
  <sheetViews>
    <sheetView showGridLines="0" workbookViewId="0">
      <selection activeCell="G9" sqref="G9"/>
    </sheetView>
  </sheetViews>
  <sheetFormatPr defaultRowHeight="16.5" x14ac:dyDescent="0.2"/>
  <cols>
    <col min="1" max="1" width="12.375" style="12" customWidth="1"/>
    <col min="2" max="2" width="10.5" style="12" bestFit="1" customWidth="1"/>
    <col min="3" max="3" width="11.25" style="12" bestFit="1" customWidth="1"/>
    <col min="4" max="4" width="10.5" style="12" bestFit="1" customWidth="1"/>
    <col min="5" max="5" width="10.5" style="12" customWidth="1"/>
    <col min="6" max="6" width="11.875" style="12" customWidth="1"/>
    <col min="7" max="7" width="13.75" style="12" customWidth="1"/>
    <col min="8" max="8" width="52.25" style="12" customWidth="1"/>
    <col min="9" max="9" width="61.125" style="12" customWidth="1"/>
    <col min="10" max="16384" width="9" style="12"/>
  </cols>
  <sheetData>
    <row r="1" spans="1:11" s="10" customFormat="1" ht="25.5" customHeight="1" x14ac:dyDescent="0.3">
      <c r="A1" s="9" t="s">
        <v>21</v>
      </c>
    </row>
    <row r="2" spans="1:11" s="11" customFormat="1" ht="24.75" customHeight="1" x14ac:dyDescent="0.2">
      <c r="A2" s="11" t="s">
        <v>22</v>
      </c>
    </row>
    <row r="3" spans="1:11" ht="24.75" customHeight="1" x14ac:dyDescent="0.2">
      <c r="A3" s="12" t="s">
        <v>23</v>
      </c>
    </row>
    <row r="4" spans="1:11" ht="24.75" customHeight="1" x14ac:dyDescent="0.2">
      <c r="A4" s="12" t="s">
        <v>24</v>
      </c>
    </row>
    <row r="5" spans="1:11" ht="24.75" customHeight="1" x14ac:dyDescent="0.2">
      <c r="A5" s="12" t="s">
        <v>25</v>
      </c>
    </row>
    <row r="6" spans="1:11" ht="26.25" customHeight="1" x14ac:dyDescent="0.2">
      <c r="A6" s="12" t="s">
        <v>26</v>
      </c>
      <c r="E6" s="13"/>
    </row>
    <row r="7" spans="1:11" ht="31.5" customHeight="1" x14ac:dyDescent="0.2">
      <c r="A7" s="14" t="s">
        <v>27</v>
      </c>
      <c r="B7" s="15" t="s">
        <v>28</v>
      </c>
      <c r="C7" s="16" t="s">
        <v>29</v>
      </c>
      <c r="D7" s="17" t="s">
        <v>5</v>
      </c>
      <c r="E7" s="18" t="s">
        <v>30</v>
      </c>
      <c r="F7" s="19" t="s">
        <v>31</v>
      </c>
      <c r="G7" s="20" t="s">
        <v>32</v>
      </c>
      <c r="H7" s="20" t="s">
        <v>33</v>
      </c>
      <c r="I7" s="21" t="s">
        <v>34</v>
      </c>
    </row>
    <row r="8" spans="1:11" ht="116.25" customHeight="1" x14ac:dyDescent="0.2">
      <c r="A8" s="22" t="s">
        <v>35</v>
      </c>
      <c r="B8" s="23">
        <v>61827.047518943487</v>
      </c>
      <c r="C8" s="24">
        <v>2500.70110393805</v>
      </c>
      <c r="D8" s="25">
        <v>56122.31629800376</v>
      </c>
      <c r="E8" s="26">
        <v>0.14572636050219401</v>
      </c>
      <c r="F8" s="27">
        <f>D8/365</f>
        <v>153.75977067946235</v>
      </c>
      <c r="G8" s="28">
        <f>F8/$F$11-1</f>
        <v>-4.5751195636527187E-2</v>
      </c>
      <c r="H8" s="29" t="s">
        <v>36</v>
      </c>
      <c r="I8" s="30" t="s">
        <v>37</v>
      </c>
    </row>
    <row r="9" spans="1:11" ht="111" customHeight="1" x14ac:dyDescent="0.2">
      <c r="A9" s="31" t="s">
        <v>38</v>
      </c>
      <c r="B9" s="32">
        <v>65760</v>
      </c>
      <c r="C9" s="33">
        <v>5169</v>
      </c>
      <c r="D9" s="34">
        <v>60225</v>
      </c>
      <c r="E9" s="35">
        <v>0.22948186412788818</v>
      </c>
      <c r="F9" s="27">
        <f t="shared" ref="F9:F10" si="0">D9/365</f>
        <v>165</v>
      </c>
      <c r="G9" s="36">
        <f>F9/$F$11-1</f>
        <v>2.4006812862681359E-2</v>
      </c>
      <c r="H9" s="29" t="s">
        <v>39</v>
      </c>
      <c r="I9" s="30" t="s">
        <v>40</v>
      </c>
      <c r="J9" s="12">
        <v>0.88</v>
      </c>
      <c r="K9" s="12">
        <f>165/J9</f>
        <v>187.5</v>
      </c>
    </row>
    <row r="10" spans="1:11" ht="82.5" customHeight="1" x14ac:dyDescent="0.2">
      <c r="A10" s="37" t="s">
        <v>41</v>
      </c>
      <c r="B10" s="38">
        <v>67512</v>
      </c>
      <c r="C10" s="39">
        <v>6358</v>
      </c>
      <c r="D10" s="40">
        <v>62050</v>
      </c>
      <c r="E10" s="41">
        <v>0.26673889031358189</v>
      </c>
      <c r="F10" s="42">
        <f t="shared" si="0"/>
        <v>170</v>
      </c>
      <c r="G10" s="43">
        <f>F10/$F$11-1</f>
        <v>5.5037322343368666E-2</v>
      </c>
      <c r="H10" s="44" t="s">
        <v>42</v>
      </c>
      <c r="I10" s="45" t="s">
        <v>43</v>
      </c>
      <c r="J10" s="12">
        <v>0.87</v>
      </c>
      <c r="K10" s="12">
        <f>165/J10</f>
        <v>189.65517241379311</v>
      </c>
    </row>
    <row r="11" spans="1:11" ht="24.75" customHeight="1" x14ac:dyDescent="0.2">
      <c r="A11" s="662" t="s">
        <v>44</v>
      </c>
      <c r="B11" s="663"/>
      <c r="C11" s="663"/>
      <c r="D11" s="663"/>
      <c r="E11" s="46"/>
      <c r="F11" s="47">
        <v>161.131740460526</v>
      </c>
      <c r="G11" s="48" t="s">
        <v>45</v>
      </c>
      <c r="H11" s="49"/>
      <c r="I11" s="50"/>
    </row>
    <row r="13" spans="1:11" x14ac:dyDescent="0.2">
      <c r="A13" s="11" t="s">
        <v>46</v>
      </c>
    </row>
    <row r="14" spans="1:11" ht="24.75" customHeight="1" x14ac:dyDescent="0.2">
      <c r="A14" s="12" t="s">
        <v>47</v>
      </c>
    </row>
    <row r="15" spans="1:11" ht="24.75" customHeight="1" x14ac:dyDescent="0.2">
      <c r="A15" s="12" t="s">
        <v>48</v>
      </c>
    </row>
    <row r="16" spans="1:11" ht="24.75" customHeight="1" x14ac:dyDescent="0.2">
      <c r="A16" s="12" t="s">
        <v>49</v>
      </c>
    </row>
    <row r="17" spans="1:3" ht="24.75" customHeight="1" x14ac:dyDescent="0.2">
      <c r="A17" s="12" t="s">
        <v>50</v>
      </c>
    </row>
    <row r="18" spans="1:3" ht="24.75" customHeight="1" x14ac:dyDescent="0.2">
      <c r="A18" s="12" t="s">
        <v>51</v>
      </c>
    </row>
    <row r="19" spans="1:3" ht="24.75" customHeight="1" x14ac:dyDescent="0.2">
      <c r="A19" s="12" t="s">
        <v>52</v>
      </c>
    </row>
    <row r="20" spans="1:3" ht="24.75" customHeight="1" x14ac:dyDescent="0.2"/>
    <row r="21" spans="1:3" x14ac:dyDescent="0.2">
      <c r="A21" s="51" t="s">
        <v>53</v>
      </c>
      <c r="B21" s="51"/>
      <c r="C21" s="51"/>
    </row>
    <row r="22" spans="1:3" x14ac:dyDescent="0.2">
      <c r="A22" s="51" t="s">
        <v>54</v>
      </c>
      <c r="B22" s="51"/>
      <c r="C22" s="51"/>
    </row>
    <row r="23" spans="1:3" x14ac:dyDescent="0.2">
      <c r="A23" s="51" t="s">
        <v>55</v>
      </c>
      <c r="B23" s="51"/>
      <c r="C23" s="51"/>
    </row>
    <row r="24" spans="1:3" x14ac:dyDescent="0.2">
      <c r="A24" s="51" t="s">
        <v>56</v>
      </c>
      <c r="B24" s="51"/>
      <c r="C24" s="51"/>
    </row>
  </sheetData>
  <mergeCells count="1">
    <mergeCell ref="A11:D11"/>
  </mergeCells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E2AC-19DB-4FC0-9C3C-7DAAF66CC3EA}">
  <dimension ref="A1:P16"/>
  <sheetViews>
    <sheetView workbookViewId="0">
      <selection activeCell="C14" sqref="C14"/>
    </sheetView>
  </sheetViews>
  <sheetFormatPr defaultRowHeight="14.25" x14ac:dyDescent="0.2"/>
  <cols>
    <col min="1" max="1" width="13.125" style="211" customWidth="1"/>
    <col min="2" max="3" width="15.875" style="211" customWidth="1"/>
    <col min="4" max="4" width="17" style="211" hidden="1" customWidth="1"/>
    <col min="5" max="5" width="14.5" style="211" customWidth="1"/>
    <col min="6" max="7" width="9" style="211"/>
    <col min="8" max="8" width="11.875" style="211" bestFit="1" customWidth="1"/>
    <col min="9" max="12" width="9" style="211"/>
    <col min="13" max="13" width="11.75" style="211" bestFit="1" customWidth="1"/>
    <col min="14" max="14" width="9" style="211"/>
    <col min="15" max="15" width="14.75" style="211" customWidth="1"/>
    <col min="16" max="16" width="12.375" style="211" customWidth="1"/>
    <col min="17" max="16384" width="9" style="211"/>
  </cols>
  <sheetData>
    <row r="1" spans="1:16" ht="27.75" customHeight="1" x14ac:dyDescent="0.2">
      <c r="A1" s="217" t="s">
        <v>240</v>
      </c>
      <c r="B1" s="217"/>
      <c r="C1" s="217"/>
      <c r="D1" s="664"/>
      <c r="E1" s="664"/>
    </row>
    <row r="2" spans="1:16" ht="24.75" customHeight="1" x14ac:dyDescent="0.2">
      <c r="A2" s="218" t="s">
        <v>233</v>
      </c>
      <c r="B2" s="219" t="s">
        <v>239</v>
      </c>
      <c r="C2" s="219" t="s">
        <v>236</v>
      </c>
      <c r="D2" s="220" t="s">
        <v>241</v>
      </c>
      <c r="E2" s="221" t="s">
        <v>168</v>
      </c>
      <c r="L2" s="211" t="s">
        <v>237</v>
      </c>
      <c r="O2" s="211" t="s">
        <v>238</v>
      </c>
    </row>
    <row r="3" spans="1:16" ht="24.75" customHeight="1" x14ac:dyDescent="0.2">
      <c r="A3" s="222" t="s">
        <v>234</v>
      </c>
      <c r="B3" s="223">
        <v>2970538.3373454916</v>
      </c>
      <c r="C3" s="223">
        <v>3942550</v>
      </c>
      <c r="D3" s="223">
        <v>3772025</v>
      </c>
      <c r="E3" s="224">
        <v>4836013</v>
      </c>
      <c r="F3" s="211">
        <v>1</v>
      </c>
      <c r="G3" s="210">
        <v>9037</v>
      </c>
      <c r="H3" s="198">
        <v>4483936</v>
      </c>
      <c r="K3" s="211">
        <v>1</v>
      </c>
      <c r="L3" s="210">
        <v>464162</v>
      </c>
      <c r="M3" s="212">
        <v>512565</v>
      </c>
      <c r="O3" s="212">
        <v>209336457</v>
      </c>
      <c r="P3" s="212">
        <v>251232798</v>
      </c>
    </row>
    <row r="4" spans="1:16" ht="24.75" customHeight="1" x14ac:dyDescent="0.2">
      <c r="A4" s="225" t="s">
        <v>235</v>
      </c>
      <c r="B4" s="226">
        <v>1336742251.8054712</v>
      </c>
      <c r="C4" s="226">
        <v>1775190434.4444444</v>
      </c>
      <c r="D4" s="226">
        <v>1687475919</v>
      </c>
      <c r="E4" s="227">
        <v>2476022511</v>
      </c>
      <c r="F4" s="211">
        <v>2</v>
      </c>
      <c r="G4" s="210">
        <v>7512</v>
      </c>
      <c r="H4" s="198">
        <v>3565149</v>
      </c>
      <c r="K4" s="211">
        <v>2</v>
      </c>
      <c r="L4" s="210">
        <v>298559</v>
      </c>
      <c r="M4" s="212">
        <v>318854</v>
      </c>
      <c r="O4" s="212">
        <v>145171754</v>
      </c>
      <c r="P4" s="212">
        <v>184705745</v>
      </c>
    </row>
    <row r="5" spans="1:16" x14ac:dyDescent="0.2">
      <c r="A5" s="211" t="s">
        <v>242</v>
      </c>
      <c r="B5" s="228">
        <f>B4/B3</f>
        <v>450</v>
      </c>
      <c r="C5" s="228">
        <f t="shared" ref="C5:E5" si="0">C4/C3</f>
        <v>450.26453296583287</v>
      </c>
      <c r="D5" s="228">
        <f t="shared" si="0"/>
        <v>447.36604847528849</v>
      </c>
      <c r="E5" s="228">
        <f t="shared" si="0"/>
        <v>511.99666150607948</v>
      </c>
      <c r="F5" s="211">
        <v>3</v>
      </c>
      <c r="G5" s="210">
        <v>7794</v>
      </c>
      <c r="H5" s="198">
        <v>4464912</v>
      </c>
      <c r="K5" s="211">
        <v>3</v>
      </c>
      <c r="L5" s="210">
        <v>344204</v>
      </c>
      <c r="M5" s="212">
        <v>393357</v>
      </c>
      <c r="O5" s="212">
        <v>162435770</v>
      </c>
      <c r="P5" s="212">
        <v>220826292</v>
      </c>
    </row>
    <row r="6" spans="1:16" x14ac:dyDescent="0.2">
      <c r="F6" s="211">
        <v>4</v>
      </c>
      <c r="G6" s="210">
        <v>8342</v>
      </c>
      <c r="H6" s="198">
        <v>4597123</v>
      </c>
      <c r="K6" s="211">
        <v>4</v>
      </c>
      <c r="L6" s="210">
        <v>324856</v>
      </c>
      <c r="M6" s="212">
        <v>398283</v>
      </c>
      <c r="O6" s="212">
        <v>150974518</v>
      </c>
      <c r="P6" s="212">
        <v>246843083</v>
      </c>
    </row>
    <row r="7" spans="1:16" x14ac:dyDescent="0.2">
      <c r="F7" s="211">
        <v>5</v>
      </c>
      <c r="G7" s="198">
        <v>10615</v>
      </c>
      <c r="H7" s="198">
        <v>4797486</v>
      </c>
      <c r="K7" s="211">
        <v>5</v>
      </c>
      <c r="L7" s="210">
        <v>335161</v>
      </c>
      <c r="M7" s="212">
        <v>397116</v>
      </c>
      <c r="O7" s="212">
        <v>136715168</v>
      </c>
      <c r="P7" s="212">
        <v>192101502</v>
      </c>
    </row>
    <row r="8" spans="1:16" x14ac:dyDescent="0.2">
      <c r="F8" s="211">
        <v>6</v>
      </c>
      <c r="G8" s="210">
        <v>8251</v>
      </c>
      <c r="H8" s="198">
        <v>3890618</v>
      </c>
      <c r="K8" s="211">
        <v>6</v>
      </c>
      <c r="L8" s="210">
        <v>357741</v>
      </c>
      <c r="M8" s="212">
        <v>380053</v>
      </c>
      <c r="O8" s="212">
        <v>135767705</v>
      </c>
      <c r="P8" s="212">
        <v>183155390</v>
      </c>
    </row>
    <row r="9" spans="1:16" x14ac:dyDescent="0.2">
      <c r="F9" s="211">
        <v>7</v>
      </c>
      <c r="G9" s="210">
        <v>8638</v>
      </c>
      <c r="H9" s="198">
        <v>4974111</v>
      </c>
      <c r="K9" s="211">
        <v>7</v>
      </c>
      <c r="L9" s="210">
        <v>335526</v>
      </c>
      <c r="M9" s="212">
        <v>371775</v>
      </c>
      <c r="O9" s="212">
        <v>132732814</v>
      </c>
      <c r="P9" s="212">
        <v>170031432</v>
      </c>
    </row>
    <row r="10" spans="1:16" x14ac:dyDescent="0.2">
      <c r="F10" s="211">
        <v>8</v>
      </c>
      <c r="G10" s="210">
        <v>10882</v>
      </c>
      <c r="H10" s="198">
        <v>6145082</v>
      </c>
      <c r="K10" s="211">
        <v>8</v>
      </c>
      <c r="L10" s="210">
        <v>333329</v>
      </c>
      <c r="M10" s="212">
        <v>390245</v>
      </c>
      <c r="O10" s="212">
        <v>128740582</v>
      </c>
      <c r="P10" s="212">
        <v>183353356</v>
      </c>
    </row>
    <row r="11" spans="1:16" x14ac:dyDescent="0.2">
      <c r="F11" s="211">
        <v>9</v>
      </c>
      <c r="G11" s="210">
        <v>9704</v>
      </c>
      <c r="H11" s="198">
        <v>4630564</v>
      </c>
      <c r="K11" s="211">
        <v>9</v>
      </c>
      <c r="L11" s="210">
        <v>295432</v>
      </c>
      <c r="M11" s="212">
        <v>381983</v>
      </c>
      <c r="O11" s="212">
        <v>124861538</v>
      </c>
      <c r="P11" s="212">
        <v>198363373</v>
      </c>
    </row>
    <row r="12" spans="1:16" x14ac:dyDescent="0.2">
      <c r="F12" s="211">
        <v>10</v>
      </c>
      <c r="G12" s="210">
        <v>12874</v>
      </c>
      <c r="H12" s="198">
        <v>5392559</v>
      </c>
      <c r="K12" s="211">
        <v>10</v>
      </c>
      <c r="L12" s="210">
        <v>272447</v>
      </c>
      <c r="M12" s="212">
        <v>367189</v>
      </c>
      <c r="O12" s="212">
        <v>144419687</v>
      </c>
      <c r="P12" s="212">
        <v>176883718</v>
      </c>
    </row>
    <row r="13" spans="1:16" x14ac:dyDescent="0.2">
      <c r="F13" s="211">
        <v>11</v>
      </c>
      <c r="G13" s="210">
        <v>12288</v>
      </c>
      <c r="H13" s="198">
        <v>6342077</v>
      </c>
      <c r="K13" s="211">
        <v>11</v>
      </c>
      <c r="L13" s="210">
        <v>294525</v>
      </c>
      <c r="M13" s="212">
        <v>455439</v>
      </c>
      <c r="O13" s="212">
        <v>153984181</v>
      </c>
      <c r="P13" s="212">
        <v>234434467</v>
      </c>
    </row>
    <row r="14" spans="1:16" x14ac:dyDescent="0.2">
      <c r="F14" s="211">
        <v>12</v>
      </c>
      <c r="G14" s="210">
        <v>10146</v>
      </c>
      <c r="H14" s="198">
        <v>9052128</v>
      </c>
      <c r="K14" s="211">
        <v>12</v>
      </c>
      <c r="L14" s="213">
        <f>G16</f>
        <v>286608</v>
      </c>
      <c r="M14" s="214">
        <v>469154</v>
      </c>
      <c r="O14" s="215">
        <f>H16</f>
        <v>150050260.44444442</v>
      </c>
      <c r="P14" s="215">
        <v>234091355</v>
      </c>
    </row>
    <row r="15" spans="1:16" x14ac:dyDescent="0.2">
      <c r="G15" s="211">
        <f>8975*19</f>
        <v>170525</v>
      </c>
      <c r="H15" s="211">
        <f>AVERAGE(H3:H11)*19</f>
        <v>87714515.444444433</v>
      </c>
      <c r="L15" s="216">
        <f>SUM(L3:L14)</f>
        <v>3942550</v>
      </c>
      <c r="M15" s="216">
        <f>SUM(M3:M14)</f>
        <v>4836013</v>
      </c>
      <c r="O15" s="216">
        <f>SUM(O3:O14)</f>
        <v>1775190434.4444444</v>
      </c>
      <c r="P15" s="216">
        <f>SUM(P3:P14)</f>
        <v>2476022511</v>
      </c>
    </row>
    <row r="16" spans="1:16" x14ac:dyDescent="0.2">
      <c r="G16" s="216">
        <f>SUM(G3:G15)</f>
        <v>286608</v>
      </c>
      <c r="H16" s="216">
        <f>SUM(H3:H15)</f>
        <v>150050260.44444442</v>
      </c>
    </row>
  </sheetData>
  <mergeCells count="1">
    <mergeCell ref="D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购物零售方案123</vt:lpstr>
      <vt:lpstr>0. 方案</vt:lpstr>
      <vt:lpstr>1. 按目标v0.2</vt:lpstr>
      <vt:lpstr>2. 按趋势预测Q1</vt:lpstr>
      <vt:lpstr>3. 移动端分月目标</vt:lpstr>
      <vt:lpstr>4. 实际达成与同比</vt:lpstr>
      <vt:lpstr>年初目标及同比</vt:lpstr>
      <vt:lpstr>【只看单月】滚动目标及同比 (5-12月)</vt:lpstr>
      <vt:lpstr>6-12月滚动目标计算过程</vt:lpstr>
      <vt:lpstr>PPT 用滚动表</vt:lpstr>
      <vt:lpstr>邮件</vt:lpstr>
      <vt:lpstr>25年月度raw</vt:lpstr>
      <vt:lpstr>历史数据23</vt:lpstr>
      <vt:lpstr>方案3预测</vt:lpstr>
      <vt:lpstr>Sheet1</vt:lpstr>
      <vt:lpstr>方案一by季度</vt:lpstr>
      <vt:lpstr>历年1-2月</vt:lpstr>
      <vt:lpstr>2023年参考</vt:lpstr>
      <vt:lpstr>订购预估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2026-05-13T04:16:49Z</dcterms:modified>
</cp:coreProperties>
</file>