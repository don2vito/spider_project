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HTML晨报\"/>
    </mc:Choice>
  </mc:AlternateContent>
  <xr:revisionPtr revIDLastSave="0" documentId="13_ncr:1_{7B377177-A424-4DC6-ABD7-FB86FF383D4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月数据（每日更新）" sheetId="1" r:id="rId1"/>
    <sheet name="累计数据（每月更新）" sheetId="2" r:id="rId2"/>
    <sheet name="目标（每月更新）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C9" i="2" l="1"/>
  <c r="C8" i="2"/>
  <c r="C7" i="2"/>
  <c r="C5" i="2"/>
  <c r="C4" i="2"/>
  <c r="C3" i="2"/>
  <c r="C2" i="2"/>
  <c r="B49" i="3"/>
  <c r="B48" i="3"/>
  <c r="B47" i="3"/>
  <c r="B46" i="3"/>
  <c r="B45" i="3"/>
  <c r="B44" i="3"/>
  <c r="B43" i="3"/>
  <c r="B42" i="3"/>
  <c r="B41" i="3"/>
  <c r="B40" i="3"/>
  <c r="B39" i="3"/>
  <c r="B38" i="3"/>
  <c r="C25" i="3"/>
  <c r="C24" i="3"/>
  <c r="C23" i="3"/>
  <c r="C22" i="3"/>
  <c r="C21" i="3"/>
  <c r="C20" i="3"/>
  <c r="C19" i="3"/>
  <c r="C18" i="3"/>
  <c r="C17" i="3"/>
  <c r="C16" i="3"/>
  <c r="C15" i="3"/>
  <c r="C14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<sst xmlns="http://schemas.openxmlformats.org/spreadsheetml/2006/main" count="556" uniqueCount="27">
  <si>
    <t>月份</t>
    <phoneticPr fontId="3" type="noConversion"/>
  </si>
  <si>
    <t>销售额目标</t>
    <phoneticPr fontId="3" type="noConversion"/>
  </si>
  <si>
    <t>利润额目标</t>
    <phoneticPr fontId="3" type="noConversion"/>
  </si>
  <si>
    <t>渠道</t>
    <phoneticPr fontId="3" type="noConversion"/>
  </si>
  <si>
    <t>归属</t>
    <phoneticPr fontId="3" type="noConversion"/>
  </si>
  <si>
    <t>滚动目标</t>
    <phoneticPr fontId="3" type="noConversion"/>
  </si>
  <si>
    <t>电视及APP</t>
    <phoneticPr fontId="3" type="noConversion"/>
  </si>
  <si>
    <t>年初目标</t>
    <phoneticPr fontId="3" type="noConversion"/>
  </si>
  <si>
    <t>自营供应链</t>
    <phoneticPr fontId="3" type="noConversion"/>
  </si>
  <si>
    <t>白玉兰直播间</t>
    <phoneticPr fontId="3" type="noConversion"/>
  </si>
  <si>
    <t>订购额目标</t>
    <phoneticPr fontId="3" type="noConversion"/>
  </si>
  <si>
    <t>指标</t>
    <phoneticPr fontId="3" type="noConversion"/>
  </si>
  <si>
    <t>数值</t>
    <phoneticPr fontId="3" type="noConversion"/>
  </si>
  <si>
    <t>订购额</t>
    <phoneticPr fontId="3" type="noConversion"/>
  </si>
  <si>
    <t>销售额</t>
    <phoneticPr fontId="3" type="noConversion"/>
  </si>
  <si>
    <t>利润额</t>
    <phoneticPr fontId="3" type="noConversion"/>
  </si>
  <si>
    <t>定制类</t>
    <phoneticPr fontId="3" type="noConversion"/>
  </si>
  <si>
    <t>私域第三方</t>
    <phoneticPr fontId="3" type="noConversion"/>
  </si>
  <si>
    <t>日期</t>
    <phoneticPr fontId="3" type="noConversion"/>
  </si>
  <si>
    <t>P1</t>
    <phoneticPr fontId="3" type="noConversion"/>
  </si>
  <si>
    <t>金条还原</t>
    <phoneticPr fontId="3" type="noConversion"/>
  </si>
  <si>
    <t>电视商品</t>
    <phoneticPr fontId="3" type="noConversion"/>
  </si>
  <si>
    <t>电商商品</t>
    <phoneticPr fontId="3" type="noConversion"/>
  </si>
  <si>
    <t>数据库营销</t>
    <phoneticPr fontId="3" type="noConversion"/>
  </si>
  <si>
    <t>私域东购部分</t>
    <phoneticPr fontId="3" type="noConversion"/>
  </si>
  <si>
    <t>私域</t>
    <phoneticPr fontId="3" type="noConversion"/>
  </si>
  <si>
    <t>仅电视端及APP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</si>
</sst>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.0,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6" fontId="4" fillId="2" borderId="0" xfId="1" applyNumberFormat="1" applyFont="1" applyFill="1" applyAlignment="1">
      <alignment horizontal="center" vertical="center"/>
    </xf>
    <xf numFmtId="176" fontId="4" fillId="3" borderId="0" xfId="1" applyNumberFormat="1" applyFont="1" applyFill="1" applyAlignment="1">
      <alignment horizontal="center" vertical="center"/>
    </xf>
    <xf numFmtId="58" fontId="0" fillId="0" borderId="0" xfId="0" applyNumberFormat="1"/>
    <xf numFmtId="0" fontId="0" fillId="4" borderId="0" xfId="0" applyFill="1"/>
  </cellXfs>
  <cellStyles count="2">
    <cellStyle name="常规" xfId="0" builtinId="0"/>
    <cellStyle name="常规 15" xfId="1" xr:uid="{A9D0190D-C8E8-4DBE-A8FC-8D3B6CDEF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opLeftCell="A277" workbookViewId="0">
      <selection activeCell="I306" sqref="I306"/>
    </sheetView>
  </sheetViews>
  <sheetFormatPr defaultRowHeight="14" x14ac:dyDescent="0.3"/>
  <cols>
    <col min="2" max="2" width="12.33203125" bestFit="1" customWidth="1"/>
  </cols>
  <sheetData>
    <row r="1" spans="1:5" x14ac:dyDescent="0.3">
      <c r="A1" t="s">
        <v>18</v>
      </c>
      <c r="B1" t="s">
        <v>3</v>
      </c>
      <c r="C1" t="s">
        <v>13</v>
      </c>
      <c r="D1" t="s">
        <v>14</v>
      </c>
      <c r="E1" t="s">
        <v>15</v>
      </c>
    </row>
    <row r="2" spans="1:5" x14ac:dyDescent="0.3">
      <c r="A2" s="6">
        <v>46143</v>
      </c>
      <c r="B2" t="s">
        <v>19</v>
      </c>
      <c r="C2" s="7">
        <v>1404347</v>
      </c>
      <c r="D2" s="7">
        <v>1614230</v>
      </c>
      <c r="E2" s="7">
        <v>436192.9</v>
      </c>
    </row>
    <row r="3" spans="1:5" x14ac:dyDescent="0.3">
      <c r="A3" s="6">
        <v>46144</v>
      </c>
      <c r="B3" t="s">
        <v>19</v>
      </c>
      <c r="C3" s="7">
        <v>1363726.5</v>
      </c>
      <c r="D3" s="7">
        <v>1042539</v>
      </c>
      <c r="E3" s="7">
        <v>287743.5</v>
      </c>
    </row>
    <row r="4" spans="1:5" x14ac:dyDescent="0.3">
      <c r="A4" s="6">
        <v>46145</v>
      </c>
      <c r="B4" t="s">
        <v>19</v>
      </c>
      <c r="C4" s="7">
        <v>1486143.8</v>
      </c>
      <c r="D4" s="7">
        <v>1007479</v>
      </c>
      <c r="E4" s="7">
        <v>293044.09999999998</v>
      </c>
    </row>
    <row r="5" spans="1:5" x14ac:dyDescent="0.3">
      <c r="A5" s="6">
        <v>46146</v>
      </c>
      <c r="B5" t="s">
        <v>19</v>
      </c>
      <c r="C5" s="7">
        <v>1313738.4000000001</v>
      </c>
      <c r="D5" s="7">
        <v>1135748</v>
      </c>
      <c r="E5" s="7">
        <v>326369.7</v>
      </c>
    </row>
    <row r="6" spans="1:5" x14ac:dyDescent="0.3">
      <c r="A6" s="6">
        <v>46147</v>
      </c>
      <c r="B6" t="s">
        <v>19</v>
      </c>
      <c r="C6" s="7">
        <v>1598030.0999999999</v>
      </c>
      <c r="D6" s="7">
        <v>937594</v>
      </c>
      <c r="E6" s="7">
        <v>270941.7</v>
      </c>
    </row>
    <row r="7" spans="1:5" x14ac:dyDescent="0.3">
      <c r="A7" s="6">
        <v>46148</v>
      </c>
      <c r="B7" t="s">
        <v>19</v>
      </c>
      <c r="C7" s="7">
        <v>2267308.5</v>
      </c>
      <c r="D7" s="7">
        <v>1792449</v>
      </c>
      <c r="E7" s="7">
        <v>434146.9</v>
      </c>
    </row>
    <row r="8" spans="1:5" x14ac:dyDescent="0.3">
      <c r="A8" s="6">
        <v>46149</v>
      </c>
      <c r="B8" t="s">
        <v>19</v>
      </c>
      <c r="C8" s="7">
        <v>2742281.2</v>
      </c>
      <c r="D8" s="7">
        <v>2620032</v>
      </c>
      <c r="E8" s="7">
        <v>528419.4</v>
      </c>
    </row>
    <row r="9" spans="1:5" x14ac:dyDescent="0.3">
      <c r="A9" s="6">
        <v>46150</v>
      </c>
      <c r="B9" t="s">
        <v>19</v>
      </c>
      <c r="C9" s="7">
        <v>3199399</v>
      </c>
      <c r="D9" s="7">
        <v>2034430</v>
      </c>
      <c r="E9" s="7">
        <v>448784.9</v>
      </c>
    </row>
    <row r="10" spans="1:5" x14ac:dyDescent="0.3">
      <c r="A10" s="6">
        <v>46151</v>
      </c>
      <c r="B10" t="s">
        <v>19</v>
      </c>
      <c r="C10" s="7">
        <v>2255440</v>
      </c>
      <c r="D10" s="7">
        <v>1712159</v>
      </c>
      <c r="E10" s="7">
        <v>419867.2</v>
      </c>
    </row>
    <row r="11" spans="1:5" x14ac:dyDescent="0.3">
      <c r="A11" s="6">
        <v>46152</v>
      </c>
      <c r="B11" t="s">
        <v>19</v>
      </c>
      <c r="C11" s="7">
        <v>2256142.4</v>
      </c>
      <c r="D11" s="7">
        <v>2046537</v>
      </c>
      <c r="E11" s="7">
        <v>505100</v>
      </c>
    </row>
    <row r="12" spans="1:5" x14ac:dyDescent="0.3">
      <c r="A12" s="6">
        <v>46153</v>
      </c>
      <c r="B12" t="s">
        <v>19</v>
      </c>
      <c r="C12" s="7">
        <v>1946089.7</v>
      </c>
      <c r="D12" s="7">
        <v>2037172</v>
      </c>
      <c r="E12" s="7">
        <v>461664.7</v>
      </c>
    </row>
    <row r="13" spans="1:5" x14ac:dyDescent="0.3">
      <c r="A13" s="6">
        <v>46154</v>
      </c>
      <c r="B13" t="s">
        <v>19</v>
      </c>
      <c r="C13" s="7">
        <v>2527137.6</v>
      </c>
      <c r="D13" s="7">
        <v>1990724</v>
      </c>
      <c r="E13" s="7">
        <v>495630.2</v>
      </c>
    </row>
    <row r="14" spans="1:5" x14ac:dyDescent="0.3">
      <c r="A14" s="6">
        <v>46155</v>
      </c>
      <c r="B14" t="s">
        <v>19</v>
      </c>
      <c r="C14" s="7">
        <v>1860798.0999999999</v>
      </c>
      <c r="D14" s="7">
        <v>1481284</v>
      </c>
      <c r="E14" s="7">
        <v>412870.2</v>
      </c>
    </row>
    <row r="15" spans="1:5" x14ac:dyDescent="0.3">
      <c r="A15" s="6">
        <v>46156</v>
      </c>
      <c r="B15" t="s">
        <v>19</v>
      </c>
      <c r="C15" s="7">
        <v>2401710.9</v>
      </c>
      <c r="D15" s="7">
        <v>1751187</v>
      </c>
      <c r="E15" s="7">
        <v>443491.4</v>
      </c>
    </row>
    <row r="16" spans="1:5" x14ac:dyDescent="0.3">
      <c r="A16" s="6">
        <v>46157</v>
      </c>
      <c r="B16" t="s">
        <v>19</v>
      </c>
      <c r="C16" s="7">
        <v>1616298.7999999998</v>
      </c>
      <c r="D16" s="7">
        <v>1828044</v>
      </c>
      <c r="E16" s="7">
        <v>456477.7</v>
      </c>
    </row>
    <row r="17" spans="1:5" x14ac:dyDescent="0.3">
      <c r="A17" s="6">
        <v>46158</v>
      </c>
      <c r="B17" t="s">
        <v>19</v>
      </c>
      <c r="C17" s="7">
        <v>2057345.7999999998</v>
      </c>
      <c r="D17" s="7">
        <v>1595212</v>
      </c>
      <c r="E17" s="7">
        <v>422917.69999999995</v>
      </c>
    </row>
    <row r="18" spans="1:5" x14ac:dyDescent="0.3">
      <c r="A18" s="6">
        <v>46159</v>
      </c>
      <c r="B18" t="s">
        <v>19</v>
      </c>
      <c r="C18" s="7">
        <v>1617916</v>
      </c>
      <c r="D18" s="7">
        <v>1114018</v>
      </c>
      <c r="E18" s="7">
        <v>335591.5</v>
      </c>
    </row>
    <row r="19" spans="1:5" x14ac:dyDescent="0.3">
      <c r="A19" s="6">
        <v>46160</v>
      </c>
      <c r="B19" t="s">
        <v>19</v>
      </c>
      <c r="C19" s="7">
        <v>1931043.3</v>
      </c>
      <c r="D19" s="7">
        <v>1684860</v>
      </c>
      <c r="E19" s="7">
        <v>458935.4</v>
      </c>
    </row>
    <row r="20" spans="1:5" x14ac:dyDescent="0.3">
      <c r="A20" s="6">
        <v>46161</v>
      </c>
      <c r="B20" t="s">
        <v>19</v>
      </c>
      <c r="C20" s="7">
        <v>1736884.4000000001</v>
      </c>
      <c r="D20" s="7">
        <v>1471010</v>
      </c>
      <c r="E20" s="7">
        <v>354615.7</v>
      </c>
    </row>
    <row r="21" spans="1:5" x14ac:dyDescent="0.3">
      <c r="A21" s="6">
        <v>46162</v>
      </c>
      <c r="B21" t="s">
        <v>19</v>
      </c>
      <c r="C21" s="7">
        <v>1737123.5</v>
      </c>
      <c r="D21" s="7">
        <v>1409423</v>
      </c>
      <c r="E21" s="7">
        <v>412936.6</v>
      </c>
    </row>
    <row r="22" spans="1:5" x14ac:dyDescent="0.3">
      <c r="A22" s="6">
        <v>46163</v>
      </c>
      <c r="B22" t="s">
        <v>19</v>
      </c>
      <c r="C22" s="7">
        <v>1855474.2</v>
      </c>
      <c r="D22" s="7">
        <v>1298052</v>
      </c>
      <c r="E22" s="7">
        <v>358600.1</v>
      </c>
    </row>
    <row r="23" spans="1:5" x14ac:dyDescent="0.3">
      <c r="A23" s="6">
        <v>46164</v>
      </c>
      <c r="B23" t="s">
        <v>19</v>
      </c>
      <c r="C23" s="7">
        <v>2013401.4</v>
      </c>
      <c r="D23" s="7">
        <v>2118798</v>
      </c>
      <c r="E23" s="7">
        <v>498453.19999999995</v>
      </c>
    </row>
    <row r="24" spans="1:5" x14ac:dyDescent="0.3">
      <c r="A24" s="6">
        <v>46165</v>
      </c>
      <c r="B24" t="s">
        <v>19</v>
      </c>
      <c r="C24" s="7">
        <v>1718265.3</v>
      </c>
      <c r="D24" s="7">
        <v>1201120.5999999999</v>
      </c>
      <c r="E24" s="7">
        <v>350134</v>
      </c>
    </row>
    <row r="25" spans="1:5" x14ac:dyDescent="0.3">
      <c r="A25" s="6">
        <v>46166</v>
      </c>
      <c r="B25" t="s">
        <v>19</v>
      </c>
      <c r="C25" s="7"/>
      <c r="D25" s="7"/>
      <c r="E25" s="7"/>
    </row>
    <row r="26" spans="1:5" x14ac:dyDescent="0.3">
      <c r="A26" s="6">
        <v>46167</v>
      </c>
      <c r="B26" t="s">
        <v>19</v>
      </c>
      <c r="C26" s="7"/>
      <c r="D26" s="7"/>
      <c r="E26" s="7"/>
    </row>
    <row r="27" spans="1:5" x14ac:dyDescent="0.3">
      <c r="A27" s="6">
        <v>46168</v>
      </c>
      <c r="B27" t="s">
        <v>19</v>
      </c>
      <c r="C27" s="7"/>
      <c r="D27" s="7"/>
      <c r="E27" s="7"/>
    </row>
    <row r="28" spans="1:5" x14ac:dyDescent="0.3">
      <c r="A28" s="6">
        <v>46169</v>
      </c>
      <c r="B28" t="s">
        <v>19</v>
      </c>
      <c r="C28" s="7"/>
      <c r="D28" s="7"/>
      <c r="E28" s="7"/>
    </row>
    <row r="29" spans="1:5" x14ac:dyDescent="0.3">
      <c r="A29" s="6">
        <v>46170</v>
      </c>
      <c r="B29" t="s">
        <v>19</v>
      </c>
      <c r="C29" s="7"/>
      <c r="D29" s="7"/>
      <c r="E29" s="7"/>
    </row>
    <row r="30" spans="1:5" x14ac:dyDescent="0.3">
      <c r="A30" s="6">
        <v>46171</v>
      </c>
      <c r="B30" t="s">
        <v>19</v>
      </c>
      <c r="C30" s="7"/>
      <c r="D30" s="7"/>
      <c r="E30" s="7"/>
    </row>
    <row r="31" spans="1:5" x14ac:dyDescent="0.3">
      <c r="A31" s="6">
        <v>46172</v>
      </c>
      <c r="B31" t="s">
        <v>19</v>
      </c>
      <c r="C31" s="7"/>
      <c r="D31" s="7"/>
      <c r="E31" s="7"/>
    </row>
    <row r="32" spans="1:5" x14ac:dyDescent="0.3">
      <c r="A32" s="6">
        <v>46173</v>
      </c>
      <c r="B32" t="s">
        <v>19</v>
      </c>
      <c r="C32" s="7"/>
      <c r="D32" s="7"/>
      <c r="E32" s="7"/>
    </row>
    <row r="33" spans="1:3" x14ac:dyDescent="0.3">
      <c r="A33" s="6">
        <v>46143</v>
      </c>
      <c r="B33" t="s">
        <v>20</v>
      </c>
      <c r="C33" s="7">
        <v>1695310</v>
      </c>
    </row>
    <row r="34" spans="1:3" x14ac:dyDescent="0.3">
      <c r="A34" s="6">
        <v>46144</v>
      </c>
      <c r="B34" t="s">
        <v>20</v>
      </c>
      <c r="C34" s="7">
        <v>317700</v>
      </c>
    </row>
    <row r="35" spans="1:3" x14ac:dyDescent="0.3">
      <c r="A35" s="6">
        <v>46145</v>
      </c>
      <c r="B35" t="s">
        <v>20</v>
      </c>
      <c r="C35" s="7">
        <v>105900</v>
      </c>
    </row>
    <row r="36" spans="1:3" x14ac:dyDescent="0.3">
      <c r="A36" s="6">
        <v>46146</v>
      </c>
      <c r="B36" t="s">
        <v>20</v>
      </c>
      <c r="C36" s="7">
        <v>0</v>
      </c>
    </row>
    <row r="37" spans="1:3" x14ac:dyDescent="0.3">
      <c r="A37" s="6">
        <v>46147</v>
      </c>
      <c r="B37" t="s">
        <v>20</v>
      </c>
      <c r="C37" s="7">
        <v>6550</v>
      </c>
    </row>
    <row r="38" spans="1:3" x14ac:dyDescent="0.3">
      <c r="A38" s="6">
        <v>46148</v>
      </c>
      <c r="B38" t="s">
        <v>20</v>
      </c>
      <c r="C38" s="7">
        <v>888105</v>
      </c>
    </row>
    <row r="39" spans="1:3" x14ac:dyDescent="0.3">
      <c r="A39" s="6">
        <v>46149</v>
      </c>
      <c r="B39" t="s">
        <v>20</v>
      </c>
      <c r="C39" s="7">
        <v>373330</v>
      </c>
    </row>
    <row r="40" spans="1:3" x14ac:dyDescent="0.3">
      <c r="A40" s="6">
        <v>46150</v>
      </c>
      <c r="B40" t="s">
        <v>20</v>
      </c>
      <c r="C40" s="7">
        <v>45200</v>
      </c>
    </row>
    <row r="41" spans="1:3" x14ac:dyDescent="0.3">
      <c r="A41" s="6">
        <v>46151</v>
      </c>
      <c r="B41" t="s">
        <v>20</v>
      </c>
      <c r="C41" s="7">
        <v>24954</v>
      </c>
    </row>
    <row r="42" spans="1:3" x14ac:dyDescent="0.3">
      <c r="A42" s="6">
        <v>46152</v>
      </c>
      <c r="B42" t="s">
        <v>20</v>
      </c>
      <c r="C42" s="7">
        <v>1170</v>
      </c>
    </row>
    <row r="43" spans="1:3" x14ac:dyDescent="0.3">
      <c r="A43" s="6">
        <v>46153</v>
      </c>
      <c r="B43" t="s">
        <v>20</v>
      </c>
      <c r="C43" s="7">
        <v>0</v>
      </c>
    </row>
    <row r="44" spans="1:3" x14ac:dyDescent="0.3">
      <c r="A44" s="6">
        <v>46154</v>
      </c>
      <c r="B44" t="s">
        <v>20</v>
      </c>
      <c r="C44" s="7">
        <v>1170</v>
      </c>
    </row>
    <row r="45" spans="1:3" x14ac:dyDescent="0.3">
      <c r="A45" s="6">
        <v>46155</v>
      </c>
      <c r="B45" t="s">
        <v>20</v>
      </c>
      <c r="C45" s="7">
        <v>0</v>
      </c>
    </row>
    <row r="46" spans="1:3" x14ac:dyDescent="0.3">
      <c r="A46" s="6">
        <v>46156</v>
      </c>
      <c r="B46" t="s">
        <v>20</v>
      </c>
      <c r="C46" s="7">
        <v>7485</v>
      </c>
    </row>
    <row r="47" spans="1:3" x14ac:dyDescent="0.3">
      <c r="A47" s="6">
        <v>46157</v>
      </c>
      <c r="B47" t="s">
        <v>20</v>
      </c>
      <c r="C47" s="7">
        <v>722470</v>
      </c>
    </row>
    <row r="48" spans="1:3" x14ac:dyDescent="0.3">
      <c r="A48" s="6">
        <v>46158</v>
      </c>
      <c r="B48" t="s">
        <v>20</v>
      </c>
      <c r="C48" s="7">
        <v>62560</v>
      </c>
    </row>
    <row r="49" spans="1:3" x14ac:dyDescent="0.3">
      <c r="A49" s="6">
        <v>46159</v>
      </c>
      <c r="B49" t="s">
        <v>20</v>
      </c>
      <c r="C49" s="7">
        <v>10660</v>
      </c>
    </row>
    <row r="50" spans="1:3" x14ac:dyDescent="0.3">
      <c r="A50" s="6">
        <v>46160</v>
      </c>
      <c r="B50" t="s">
        <v>20</v>
      </c>
      <c r="C50" s="7">
        <v>161030</v>
      </c>
    </row>
    <row r="51" spans="1:3" x14ac:dyDescent="0.3">
      <c r="A51" s="6">
        <v>46161</v>
      </c>
      <c r="B51" t="s">
        <v>20</v>
      </c>
      <c r="C51" s="7">
        <v>36920</v>
      </c>
    </row>
    <row r="52" spans="1:3" x14ac:dyDescent="0.3">
      <c r="A52" s="6">
        <v>46162</v>
      </c>
      <c r="B52" t="s">
        <v>20</v>
      </c>
      <c r="C52" s="7">
        <v>205600</v>
      </c>
    </row>
    <row r="53" spans="1:3" x14ac:dyDescent="0.3">
      <c r="A53" s="6">
        <v>46163</v>
      </c>
      <c r="B53" t="s">
        <v>20</v>
      </c>
      <c r="C53" s="7">
        <v>134740</v>
      </c>
    </row>
    <row r="54" spans="1:3" x14ac:dyDescent="0.3">
      <c r="A54" s="6">
        <v>46164</v>
      </c>
      <c r="B54" t="s">
        <v>20</v>
      </c>
      <c r="C54" s="7">
        <v>0</v>
      </c>
    </row>
    <row r="55" spans="1:3" x14ac:dyDescent="0.3">
      <c r="A55" s="6">
        <v>46165</v>
      </c>
      <c r="B55" t="s">
        <v>20</v>
      </c>
      <c r="C55" s="7">
        <v>0</v>
      </c>
    </row>
    <row r="56" spans="1:3" x14ac:dyDescent="0.3">
      <c r="A56" s="6">
        <v>46166</v>
      </c>
      <c r="B56" t="s">
        <v>20</v>
      </c>
      <c r="C56" s="7"/>
    </row>
    <row r="57" spans="1:3" x14ac:dyDescent="0.3">
      <c r="A57" s="6">
        <v>46167</v>
      </c>
      <c r="B57" t="s">
        <v>20</v>
      </c>
      <c r="C57" s="7"/>
    </row>
    <row r="58" spans="1:3" x14ac:dyDescent="0.3">
      <c r="A58" s="6">
        <v>46168</v>
      </c>
      <c r="B58" t="s">
        <v>20</v>
      </c>
      <c r="C58" s="7"/>
    </row>
    <row r="59" spans="1:3" x14ac:dyDescent="0.3">
      <c r="A59" s="6">
        <v>46169</v>
      </c>
      <c r="B59" t="s">
        <v>20</v>
      </c>
      <c r="C59" s="7"/>
    </row>
    <row r="60" spans="1:3" x14ac:dyDescent="0.3">
      <c r="A60" s="6">
        <v>46170</v>
      </c>
      <c r="B60" t="s">
        <v>20</v>
      </c>
      <c r="C60" s="7"/>
    </row>
    <row r="61" spans="1:3" x14ac:dyDescent="0.3">
      <c r="A61" s="6">
        <v>46171</v>
      </c>
      <c r="B61" t="s">
        <v>20</v>
      </c>
      <c r="C61" s="7"/>
    </row>
    <row r="62" spans="1:3" x14ac:dyDescent="0.3">
      <c r="A62" s="6">
        <v>46172</v>
      </c>
      <c r="B62" t="s">
        <v>20</v>
      </c>
      <c r="C62" s="7"/>
    </row>
    <row r="63" spans="1:3" x14ac:dyDescent="0.3">
      <c r="A63" s="6">
        <v>46173</v>
      </c>
      <c r="B63" t="s">
        <v>20</v>
      </c>
      <c r="C63" s="7"/>
    </row>
    <row r="64" spans="1:3" x14ac:dyDescent="0.3">
      <c r="A64" s="6">
        <v>46143</v>
      </c>
      <c r="B64" t="s">
        <v>16</v>
      </c>
      <c r="C64" s="7">
        <v>336250</v>
      </c>
    </row>
    <row r="65" spans="1:3" x14ac:dyDescent="0.3">
      <c r="A65" s="6">
        <v>46144</v>
      </c>
      <c r="B65" t="s">
        <v>16</v>
      </c>
      <c r="C65" s="7">
        <v>483848</v>
      </c>
    </row>
    <row r="66" spans="1:3" x14ac:dyDescent="0.3">
      <c r="A66" s="6">
        <v>46145</v>
      </c>
      <c r="B66" t="s">
        <v>16</v>
      </c>
      <c r="C66" s="7">
        <v>653562</v>
      </c>
    </row>
    <row r="67" spans="1:3" x14ac:dyDescent="0.3">
      <c r="A67" s="6">
        <v>46146</v>
      </c>
      <c r="B67" t="s">
        <v>16</v>
      </c>
      <c r="C67" s="7">
        <v>692535</v>
      </c>
    </row>
    <row r="68" spans="1:3" x14ac:dyDescent="0.3">
      <c r="A68" s="6">
        <v>46147</v>
      </c>
      <c r="B68" t="s">
        <v>16</v>
      </c>
      <c r="C68" s="7">
        <v>580985</v>
      </c>
    </row>
    <row r="69" spans="1:3" x14ac:dyDescent="0.3">
      <c r="A69" s="6">
        <v>46148</v>
      </c>
      <c r="B69" t="s">
        <v>16</v>
      </c>
      <c r="C69" s="7">
        <v>1278261</v>
      </c>
    </row>
    <row r="70" spans="1:3" x14ac:dyDescent="0.3">
      <c r="A70" s="6">
        <v>46149</v>
      </c>
      <c r="B70" t="s">
        <v>16</v>
      </c>
      <c r="C70" s="7">
        <v>671333</v>
      </c>
    </row>
    <row r="71" spans="1:3" x14ac:dyDescent="0.3">
      <c r="A71" s="6">
        <v>46150</v>
      </c>
      <c r="B71" t="s">
        <v>16</v>
      </c>
      <c r="C71" s="7">
        <v>2059062</v>
      </c>
    </row>
    <row r="72" spans="1:3" x14ac:dyDescent="0.3">
      <c r="A72" s="6">
        <v>46151</v>
      </c>
      <c r="B72" t="s">
        <v>16</v>
      </c>
      <c r="C72" s="7">
        <v>312389</v>
      </c>
    </row>
    <row r="73" spans="1:3" x14ac:dyDescent="0.3">
      <c r="A73" s="6">
        <v>46152</v>
      </c>
      <c r="B73" t="s">
        <v>16</v>
      </c>
      <c r="C73" s="7">
        <v>623749</v>
      </c>
    </row>
    <row r="74" spans="1:3" x14ac:dyDescent="0.3">
      <c r="A74" s="6">
        <v>46153</v>
      </c>
      <c r="B74" t="s">
        <v>16</v>
      </c>
      <c r="C74" s="7">
        <v>1551079</v>
      </c>
    </row>
    <row r="75" spans="1:3" x14ac:dyDescent="0.3">
      <c r="A75" s="6">
        <v>46154</v>
      </c>
      <c r="B75" t="s">
        <v>16</v>
      </c>
      <c r="C75" s="7">
        <v>415558</v>
      </c>
    </row>
    <row r="76" spans="1:3" x14ac:dyDescent="0.3">
      <c r="A76" s="6">
        <v>46155</v>
      </c>
      <c r="B76" t="s">
        <v>16</v>
      </c>
      <c r="C76" s="7">
        <v>390959</v>
      </c>
    </row>
    <row r="77" spans="1:3" x14ac:dyDescent="0.3">
      <c r="A77" s="6">
        <v>46156</v>
      </c>
      <c r="B77" t="s">
        <v>16</v>
      </c>
      <c r="C77" s="7">
        <v>359660</v>
      </c>
    </row>
    <row r="78" spans="1:3" x14ac:dyDescent="0.3">
      <c r="A78" s="6">
        <v>46157</v>
      </c>
      <c r="B78" t="s">
        <v>16</v>
      </c>
      <c r="C78" s="7">
        <v>305455</v>
      </c>
    </row>
    <row r="79" spans="1:3" x14ac:dyDescent="0.3">
      <c r="A79" s="6">
        <v>46158</v>
      </c>
      <c r="B79" t="s">
        <v>16</v>
      </c>
      <c r="C79" s="7">
        <v>306517</v>
      </c>
    </row>
    <row r="80" spans="1:3" x14ac:dyDescent="0.3">
      <c r="A80" s="6">
        <v>46159</v>
      </c>
      <c r="B80" t="s">
        <v>16</v>
      </c>
      <c r="C80" s="7">
        <v>883238</v>
      </c>
    </row>
    <row r="81" spans="1:5" x14ac:dyDescent="0.3">
      <c r="A81" s="6">
        <v>46160</v>
      </c>
      <c r="B81" t="s">
        <v>16</v>
      </c>
      <c r="C81" s="7">
        <v>699754</v>
      </c>
    </row>
    <row r="82" spans="1:5" x14ac:dyDescent="0.3">
      <c r="A82" s="6">
        <v>46161</v>
      </c>
      <c r="B82" t="s">
        <v>16</v>
      </c>
      <c r="C82" s="7">
        <v>782521</v>
      </c>
    </row>
    <row r="83" spans="1:5" x14ac:dyDescent="0.3">
      <c r="A83" s="6">
        <v>46162</v>
      </c>
      <c r="B83" t="s">
        <v>16</v>
      </c>
      <c r="C83" s="7">
        <v>2108477</v>
      </c>
    </row>
    <row r="84" spans="1:5" x14ac:dyDescent="0.3">
      <c r="A84" s="6">
        <v>46163</v>
      </c>
      <c r="B84" t="s">
        <v>16</v>
      </c>
      <c r="C84" s="7">
        <v>1028824</v>
      </c>
    </row>
    <row r="85" spans="1:5" x14ac:dyDescent="0.3">
      <c r="A85" s="6">
        <v>46164</v>
      </c>
      <c r="B85" t="s">
        <v>16</v>
      </c>
      <c r="C85" s="7">
        <v>2888778</v>
      </c>
    </row>
    <row r="86" spans="1:5" x14ac:dyDescent="0.3">
      <c r="A86" s="6">
        <v>46165</v>
      </c>
      <c r="B86" t="s">
        <v>16</v>
      </c>
      <c r="C86" s="7">
        <v>622172</v>
      </c>
    </row>
    <row r="87" spans="1:5" x14ac:dyDescent="0.3">
      <c r="A87" s="6">
        <v>46166</v>
      </c>
      <c r="B87" t="s">
        <v>16</v>
      </c>
      <c r="C87" s="7"/>
    </row>
    <row r="88" spans="1:5" x14ac:dyDescent="0.3">
      <c r="A88" s="6">
        <v>46167</v>
      </c>
      <c r="B88" t="s">
        <v>16</v>
      </c>
      <c r="C88" s="7"/>
    </row>
    <row r="89" spans="1:5" x14ac:dyDescent="0.3">
      <c r="A89" s="6">
        <v>46168</v>
      </c>
      <c r="B89" t="s">
        <v>16</v>
      </c>
      <c r="C89" s="7"/>
    </row>
    <row r="90" spans="1:5" x14ac:dyDescent="0.3">
      <c r="A90" s="6">
        <v>46169</v>
      </c>
      <c r="B90" t="s">
        <v>16</v>
      </c>
      <c r="C90" s="7"/>
    </row>
    <row r="91" spans="1:5" x14ac:dyDescent="0.3">
      <c r="A91" s="6">
        <v>46170</v>
      </c>
      <c r="B91" t="s">
        <v>16</v>
      </c>
      <c r="C91" s="7"/>
    </row>
    <row r="92" spans="1:5" x14ac:dyDescent="0.3">
      <c r="A92" s="6">
        <v>46171</v>
      </c>
      <c r="B92" t="s">
        <v>16</v>
      </c>
      <c r="C92" s="7"/>
    </row>
    <row r="93" spans="1:5" x14ac:dyDescent="0.3">
      <c r="A93" s="6">
        <v>46172</v>
      </c>
      <c r="B93" t="s">
        <v>16</v>
      </c>
      <c r="C93" s="7"/>
    </row>
    <row r="94" spans="1:5" x14ac:dyDescent="0.3">
      <c r="A94" s="6">
        <v>46173</v>
      </c>
      <c r="B94" t="s">
        <v>16</v>
      </c>
      <c r="C94" s="7"/>
    </row>
    <row r="95" spans="1:5" x14ac:dyDescent="0.3">
      <c r="A95" s="6">
        <v>46143</v>
      </c>
      <c r="B95" t="s">
        <v>17</v>
      </c>
      <c r="C95" s="7">
        <v>33283</v>
      </c>
      <c r="E95" s="7">
        <v>4742</v>
      </c>
    </row>
    <row r="96" spans="1:5" x14ac:dyDescent="0.3">
      <c r="A96" s="6">
        <v>46144</v>
      </c>
      <c r="B96" t="s">
        <v>17</v>
      </c>
      <c r="C96" s="7">
        <v>33394</v>
      </c>
      <c r="E96" s="7">
        <v>3747</v>
      </c>
    </row>
    <row r="97" spans="1:5" x14ac:dyDescent="0.3">
      <c r="A97" s="6">
        <v>46145</v>
      </c>
      <c r="B97" t="s">
        <v>17</v>
      </c>
      <c r="C97" s="7">
        <v>37527</v>
      </c>
      <c r="E97" s="7">
        <v>4877</v>
      </c>
    </row>
    <row r="98" spans="1:5" x14ac:dyDescent="0.3">
      <c r="A98" s="6">
        <v>46146</v>
      </c>
      <c r="B98" t="s">
        <v>17</v>
      </c>
      <c r="C98" s="7">
        <v>36861</v>
      </c>
      <c r="E98" s="7">
        <v>4609</v>
      </c>
    </row>
    <row r="99" spans="1:5" x14ac:dyDescent="0.3">
      <c r="A99" s="6">
        <v>46147</v>
      </c>
      <c r="B99" t="s">
        <v>17</v>
      </c>
      <c r="C99" s="7">
        <v>38949</v>
      </c>
      <c r="E99" s="7">
        <v>4904</v>
      </c>
    </row>
    <row r="100" spans="1:5" x14ac:dyDescent="0.3">
      <c r="A100" s="6">
        <v>46148</v>
      </c>
      <c r="B100" t="s">
        <v>17</v>
      </c>
      <c r="C100" s="7">
        <v>45157</v>
      </c>
      <c r="E100" s="7">
        <v>6172</v>
      </c>
    </row>
    <row r="101" spans="1:5" x14ac:dyDescent="0.3">
      <c r="A101" s="6">
        <v>46149</v>
      </c>
      <c r="B101" t="s">
        <v>17</v>
      </c>
      <c r="C101" s="7">
        <v>46905</v>
      </c>
      <c r="E101" s="7">
        <v>5971</v>
      </c>
    </row>
    <row r="102" spans="1:5" x14ac:dyDescent="0.3">
      <c r="A102" s="6">
        <v>46150</v>
      </c>
      <c r="B102" t="s">
        <v>17</v>
      </c>
      <c r="C102" s="7">
        <v>46433</v>
      </c>
      <c r="E102" s="7">
        <v>5991</v>
      </c>
    </row>
    <row r="103" spans="1:5" x14ac:dyDescent="0.3">
      <c r="A103" s="6">
        <v>46151</v>
      </c>
      <c r="B103" t="s">
        <v>17</v>
      </c>
      <c r="C103" s="7">
        <v>44238</v>
      </c>
      <c r="E103" s="7">
        <v>5000</v>
      </c>
    </row>
    <row r="104" spans="1:5" x14ac:dyDescent="0.3">
      <c r="A104" s="6">
        <v>46152</v>
      </c>
      <c r="B104" t="s">
        <v>17</v>
      </c>
      <c r="C104" s="7">
        <v>44133</v>
      </c>
      <c r="E104" s="7">
        <v>5078</v>
      </c>
    </row>
    <row r="105" spans="1:5" x14ac:dyDescent="0.3">
      <c r="A105" s="6">
        <v>46153</v>
      </c>
      <c r="B105" t="s">
        <v>17</v>
      </c>
      <c r="C105" s="7">
        <v>46854</v>
      </c>
      <c r="E105" s="7">
        <v>4818</v>
      </c>
    </row>
    <row r="106" spans="1:5" x14ac:dyDescent="0.3">
      <c r="A106" s="6">
        <v>46154</v>
      </c>
      <c r="B106" t="s">
        <v>17</v>
      </c>
      <c r="C106" s="7">
        <v>36736</v>
      </c>
      <c r="E106" s="7">
        <v>3905</v>
      </c>
    </row>
    <row r="107" spans="1:5" x14ac:dyDescent="0.3">
      <c r="A107" s="6">
        <v>46155</v>
      </c>
      <c r="B107" t="s">
        <v>17</v>
      </c>
      <c r="C107" s="7">
        <v>42743</v>
      </c>
      <c r="E107" s="7">
        <v>4869</v>
      </c>
    </row>
    <row r="108" spans="1:5" x14ac:dyDescent="0.3">
      <c r="A108" s="6">
        <v>46156</v>
      </c>
      <c r="B108" t="s">
        <v>17</v>
      </c>
      <c r="C108" s="7">
        <v>43580</v>
      </c>
      <c r="E108" s="7">
        <v>5256</v>
      </c>
    </row>
    <row r="109" spans="1:5" x14ac:dyDescent="0.3">
      <c r="A109" s="6">
        <v>46157</v>
      </c>
      <c r="B109" t="s">
        <v>17</v>
      </c>
      <c r="C109" s="7">
        <v>34898</v>
      </c>
      <c r="E109" s="7">
        <v>4359</v>
      </c>
    </row>
    <row r="110" spans="1:5" x14ac:dyDescent="0.3">
      <c r="A110" s="6">
        <v>46158</v>
      </c>
      <c r="B110" t="s">
        <v>17</v>
      </c>
      <c r="C110" s="7">
        <v>36492</v>
      </c>
      <c r="E110" s="7">
        <v>4227</v>
      </c>
    </row>
    <row r="111" spans="1:5" x14ac:dyDescent="0.3">
      <c r="A111" s="6">
        <v>46159</v>
      </c>
      <c r="B111" t="s">
        <v>17</v>
      </c>
      <c r="C111" s="7">
        <v>42913</v>
      </c>
      <c r="E111" s="7">
        <v>5442</v>
      </c>
    </row>
    <row r="112" spans="1:5" x14ac:dyDescent="0.3">
      <c r="A112" s="6">
        <v>46160</v>
      </c>
      <c r="B112" t="s">
        <v>17</v>
      </c>
      <c r="C112" s="7">
        <v>40787</v>
      </c>
      <c r="E112" s="7">
        <v>4846</v>
      </c>
    </row>
    <row r="113" spans="1:5" x14ac:dyDescent="0.3">
      <c r="A113" s="6">
        <v>46161</v>
      </c>
      <c r="B113" t="s">
        <v>17</v>
      </c>
      <c r="C113" s="7">
        <v>46261.93</v>
      </c>
      <c r="E113" s="7">
        <v>5173.83</v>
      </c>
    </row>
    <row r="114" spans="1:5" x14ac:dyDescent="0.3">
      <c r="A114" s="6">
        <v>46162</v>
      </c>
      <c r="B114" t="s">
        <v>17</v>
      </c>
      <c r="C114" s="7">
        <v>45787</v>
      </c>
      <c r="E114" s="7">
        <v>5239</v>
      </c>
    </row>
    <row r="115" spans="1:5" x14ac:dyDescent="0.3">
      <c r="A115" s="6">
        <v>46163</v>
      </c>
      <c r="B115" t="s">
        <v>17</v>
      </c>
      <c r="C115" s="7">
        <v>38713</v>
      </c>
      <c r="E115" s="7">
        <v>4622</v>
      </c>
    </row>
    <row r="116" spans="1:5" x14ac:dyDescent="0.3">
      <c r="A116" s="6">
        <v>46164</v>
      </c>
      <c r="B116" t="s">
        <v>17</v>
      </c>
      <c r="C116" s="7">
        <v>35449</v>
      </c>
      <c r="E116" s="7">
        <v>4062</v>
      </c>
    </row>
    <row r="117" spans="1:5" x14ac:dyDescent="0.3">
      <c r="A117" s="6">
        <v>46165</v>
      </c>
      <c r="B117" t="s">
        <v>17</v>
      </c>
      <c r="C117" s="7">
        <v>35216.959999999999</v>
      </c>
      <c r="E117" s="7">
        <v>4335.6400000000003</v>
      </c>
    </row>
    <row r="118" spans="1:5" x14ac:dyDescent="0.3">
      <c r="A118" s="6">
        <v>46166</v>
      </c>
      <c r="B118" t="s">
        <v>17</v>
      </c>
      <c r="C118" s="7"/>
      <c r="E118" s="7"/>
    </row>
    <row r="119" spans="1:5" x14ac:dyDescent="0.3">
      <c r="A119" s="6">
        <v>46167</v>
      </c>
      <c r="B119" t="s">
        <v>17</v>
      </c>
      <c r="C119" s="7"/>
      <c r="E119" s="7"/>
    </row>
    <row r="120" spans="1:5" x14ac:dyDescent="0.3">
      <c r="A120" s="6">
        <v>46168</v>
      </c>
      <c r="B120" t="s">
        <v>17</v>
      </c>
      <c r="C120" s="7"/>
      <c r="E120" s="7"/>
    </row>
    <row r="121" spans="1:5" x14ac:dyDescent="0.3">
      <c r="A121" s="6">
        <v>46169</v>
      </c>
      <c r="B121" t="s">
        <v>17</v>
      </c>
      <c r="C121" s="7"/>
      <c r="E121" s="7"/>
    </row>
    <row r="122" spans="1:5" x14ac:dyDescent="0.3">
      <c r="A122" s="6">
        <v>46170</v>
      </c>
      <c r="B122" t="s">
        <v>17</v>
      </c>
      <c r="C122" s="7"/>
      <c r="E122" s="7"/>
    </row>
    <row r="123" spans="1:5" x14ac:dyDescent="0.3">
      <c r="A123" s="6">
        <v>46171</v>
      </c>
      <c r="B123" t="s">
        <v>17</v>
      </c>
      <c r="C123" s="7"/>
      <c r="E123" s="7"/>
    </row>
    <row r="124" spans="1:5" x14ac:dyDescent="0.3">
      <c r="A124" s="6">
        <v>46172</v>
      </c>
      <c r="B124" t="s">
        <v>17</v>
      </c>
      <c r="C124" s="7"/>
      <c r="E124" s="7"/>
    </row>
    <row r="125" spans="1:5" x14ac:dyDescent="0.3">
      <c r="A125" s="6">
        <v>46173</v>
      </c>
      <c r="B125" t="s">
        <v>17</v>
      </c>
      <c r="C125" s="7"/>
      <c r="E125" s="7"/>
    </row>
    <row r="126" spans="1:5" x14ac:dyDescent="0.3">
      <c r="A126" s="6">
        <v>46143</v>
      </c>
      <c r="B126" t="s">
        <v>9</v>
      </c>
      <c r="C126" s="7">
        <v>1695040.8</v>
      </c>
    </row>
    <row r="127" spans="1:5" x14ac:dyDescent="0.3">
      <c r="A127" s="6">
        <v>46144</v>
      </c>
      <c r="B127" t="s">
        <v>9</v>
      </c>
      <c r="C127" s="7">
        <v>371807.99</v>
      </c>
    </row>
    <row r="128" spans="1:5" x14ac:dyDescent="0.3">
      <c r="A128" s="6">
        <v>46145</v>
      </c>
      <c r="B128" t="s">
        <v>9</v>
      </c>
      <c r="C128" s="7">
        <v>977678.16</v>
      </c>
    </row>
    <row r="129" spans="1:3" x14ac:dyDescent="0.3">
      <c r="A129" s="6">
        <v>46146</v>
      </c>
      <c r="B129" t="s">
        <v>9</v>
      </c>
      <c r="C129" s="7">
        <v>298908.15999999997</v>
      </c>
    </row>
    <row r="130" spans="1:3" x14ac:dyDescent="0.3">
      <c r="A130" s="6">
        <v>46147</v>
      </c>
      <c r="B130" t="s">
        <v>9</v>
      </c>
      <c r="C130" s="7">
        <v>862427.71</v>
      </c>
    </row>
    <row r="131" spans="1:3" x14ac:dyDescent="0.3">
      <c r="A131" s="6">
        <v>46148</v>
      </c>
      <c r="B131" t="s">
        <v>9</v>
      </c>
      <c r="C131" s="7">
        <v>565380.26</v>
      </c>
    </row>
    <row r="132" spans="1:3" x14ac:dyDescent="0.3">
      <c r="A132" s="6">
        <v>46149</v>
      </c>
      <c r="B132" t="s">
        <v>9</v>
      </c>
      <c r="C132" s="7">
        <v>1021868.18</v>
      </c>
    </row>
    <row r="133" spans="1:3" x14ac:dyDescent="0.3">
      <c r="A133" s="6">
        <v>46150</v>
      </c>
      <c r="B133" t="s">
        <v>9</v>
      </c>
      <c r="C133" s="7">
        <v>818175.21</v>
      </c>
    </row>
    <row r="134" spans="1:3" x14ac:dyDescent="0.3">
      <c r="A134" s="6">
        <v>46151</v>
      </c>
      <c r="B134" t="s">
        <v>9</v>
      </c>
      <c r="C134" s="7">
        <v>638789.92000000004</v>
      </c>
    </row>
    <row r="135" spans="1:3" x14ac:dyDescent="0.3">
      <c r="A135" s="6">
        <v>46152</v>
      </c>
      <c r="B135" t="s">
        <v>9</v>
      </c>
      <c r="C135" s="7">
        <v>688247.56</v>
      </c>
    </row>
    <row r="136" spans="1:3" x14ac:dyDescent="0.3">
      <c r="A136" s="6">
        <v>46153</v>
      </c>
      <c r="B136" t="s">
        <v>9</v>
      </c>
      <c r="C136" s="7">
        <v>298488.27</v>
      </c>
    </row>
    <row r="137" spans="1:3" x14ac:dyDescent="0.3">
      <c r="A137" s="6">
        <v>46154</v>
      </c>
      <c r="B137" t="s">
        <v>9</v>
      </c>
      <c r="C137" s="7">
        <v>612844.09</v>
      </c>
    </row>
    <row r="138" spans="1:3" x14ac:dyDescent="0.3">
      <c r="A138" s="6">
        <v>46155</v>
      </c>
      <c r="B138" t="s">
        <v>9</v>
      </c>
      <c r="C138" s="7">
        <v>984615.17</v>
      </c>
    </row>
    <row r="139" spans="1:3" x14ac:dyDescent="0.3">
      <c r="A139" s="6">
        <v>46156</v>
      </c>
      <c r="B139" t="s">
        <v>9</v>
      </c>
      <c r="C139" s="7">
        <v>652743.43999999994</v>
      </c>
    </row>
    <row r="140" spans="1:3" x14ac:dyDescent="0.3">
      <c r="A140" s="6">
        <v>46157</v>
      </c>
      <c r="B140" t="s">
        <v>9</v>
      </c>
      <c r="C140" s="7">
        <v>467430.6</v>
      </c>
    </row>
    <row r="141" spans="1:3" x14ac:dyDescent="0.3">
      <c r="A141" s="6">
        <v>46158</v>
      </c>
      <c r="B141" t="s">
        <v>9</v>
      </c>
      <c r="C141" s="7">
        <v>759002.47</v>
      </c>
    </row>
    <row r="142" spans="1:3" x14ac:dyDescent="0.3">
      <c r="A142" s="6">
        <v>46159</v>
      </c>
      <c r="B142" t="s">
        <v>9</v>
      </c>
      <c r="C142" s="7">
        <v>319725.05</v>
      </c>
    </row>
    <row r="143" spans="1:3" x14ac:dyDescent="0.3">
      <c r="A143" s="6">
        <v>46160</v>
      </c>
      <c r="B143" t="s">
        <v>9</v>
      </c>
      <c r="C143" s="7">
        <v>794570.00999999989</v>
      </c>
    </row>
    <row r="144" spans="1:3" x14ac:dyDescent="0.3">
      <c r="A144" s="6">
        <v>46161</v>
      </c>
      <c r="B144" t="s">
        <v>9</v>
      </c>
      <c r="C144" s="7">
        <v>1668659.12</v>
      </c>
    </row>
    <row r="145" spans="1:4" x14ac:dyDescent="0.3">
      <c r="A145" s="6">
        <v>46162</v>
      </c>
      <c r="B145" t="s">
        <v>9</v>
      </c>
      <c r="C145" s="7">
        <v>2079642.33</v>
      </c>
    </row>
    <row r="146" spans="1:4" x14ac:dyDescent="0.3">
      <c r="A146" s="6">
        <v>46163</v>
      </c>
      <c r="B146" t="s">
        <v>9</v>
      </c>
      <c r="C146" s="7">
        <v>635481.03</v>
      </c>
    </row>
    <row r="147" spans="1:4" x14ac:dyDescent="0.3">
      <c r="A147" s="6">
        <v>46164</v>
      </c>
      <c r="B147" t="s">
        <v>9</v>
      </c>
      <c r="C147" s="7">
        <v>802614.65000000014</v>
      </c>
    </row>
    <row r="148" spans="1:4" x14ac:dyDescent="0.3">
      <c r="A148" s="6">
        <v>46165</v>
      </c>
      <c r="B148" t="s">
        <v>9</v>
      </c>
      <c r="C148" s="7">
        <v>366400.17</v>
      </c>
    </row>
    <row r="149" spans="1:4" x14ac:dyDescent="0.3">
      <c r="A149" s="6">
        <v>46166</v>
      </c>
      <c r="B149" t="s">
        <v>9</v>
      </c>
      <c r="C149" s="7"/>
    </row>
    <row r="150" spans="1:4" x14ac:dyDescent="0.3">
      <c r="A150" s="6">
        <v>46167</v>
      </c>
      <c r="B150" t="s">
        <v>9</v>
      </c>
      <c r="C150" s="7"/>
    </row>
    <row r="151" spans="1:4" x14ac:dyDescent="0.3">
      <c r="A151" s="6">
        <v>46168</v>
      </c>
      <c r="B151" t="s">
        <v>9</v>
      </c>
      <c r="C151" s="7"/>
    </row>
    <row r="152" spans="1:4" x14ac:dyDescent="0.3">
      <c r="A152" s="6">
        <v>46169</v>
      </c>
      <c r="B152" t="s">
        <v>9</v>
      </c>
      <c r="C152" s="7"/>
    </row>
    <row r="153" spans="1:4" x14ac:dyDescent="0.3">
      <c r="A153" s="6">
        <v>46170</v>
      </c>
      <c r="B153" t="s">
        <v>9</v>
      </c>
      <c r="C153" s="7"/>
    </row>
    <row r="154" spans="1:4" x14ac:dyDescent="0.3">
      <c r="A154" s="6">
        <v>46171</v>
      </c>
      <c r="B154" t="s">
        <v>9</v>
      </c>
      <c r="C154" s="7"/>
    </row>
    <row r="155" spans="1:4" x14ac:dyDescent="0.3">
      <c r="A155" s="6">
        <v>46172</v>
      </c>
      <c r="B155" t="s">
        <v>9</v>
      </c>
      <c r="C155" s="7"/>
    </row>
    <row r="156" spans="1:4" x14ac:dyDescent="0.3">
      <c r="A156" s="6">
        <v>46173</v>
      </c>
      <c r="B156" t="s">
        <v>9</v>
      </c>
      <c r="C156" s="7"/>
    </row>
    <row r="157" spans="1:4" x14ac:dyDescent="0.3">
      <c r="A157" s="6">
        <v>46143</v>
      </c>
      <c r="B157" t="s">
        <v>8</v>
      </c>
      <c r="D157" s="7"/>
    </row>
    <row r="158" spans="1:4" x14ac:dyDescent="0.3">
      <c r="A158" s="6">
        <v>46144</v>
      </c>
      <c r="B158" t="s">
        <v>8</v>
      </c>
      <c r="D158" s="7"/>
    </row>
    <row r="159" spans="1:4" x14ac:dyDescent="0.3">
      <c r="A159" s="6">
        <v>46145</v>
      </c>
      <c r="B159" t="s">
        <v>8</v>
      </c>
      <c r="D159" s="7"/>
    </row>
    <row r="160" spans="1:4" x14ac:dyDescent="0.3">
      <c r="A160" s="6">
        <v>46146</v>
      </c>
      <c r="B160" t="s">
        <v>8</v>
      </c>
      <c r="D160" s="7"/>
    </row>
    <row r="161" spans="1:4" x14ac:dyDescent="0.3">
      <c r="A161" s="6">
        <v>46147</v>
      </c>
      <c r="B161" t="s">
        <v>8</v>
      </c>
      <c r="D161" s="7"/>
    </row>
    <row r="162" spans="1:4" x14ac:dyDescent="0.3">
      <c r="A162" s="6">
        <v>46148</v>
      </c>
      <c r="B162" t="s">
        <v>8</v>
      </c>
      <c r="D162" s="7"/>
    </row>
    <row r="163" spans="1:4" x14ac:dyDescent="0.3">
      <c r="A163" s="6">
        <v>46149</v>
      </c>
      <c r="B163" t="s">
        <v>8</v>
      </c>
      <c r="D163" s="7"/>
    </row>
    <row r="164" spans="1:4" x14ac:dyDescent="0.3">
      <c r="A164" s="6">
        <v>46150</v>
      </c>
      <c r="B164" t="s">
        <v>8</v>
      </c>
      <c r="D164" s="7"/>
    </row>
    <row r="165" spans="1:4" x14ac:dyDescent="0.3">
      <c r="A165" s="6">
        <v>46151</v>
      </c>
      <c r="B165" t="s">
        <v>8</v>
      </c>
      <c r="D165" s="7"/>
    </row>
    <row r="166" spans="1:4" x14ac:dyDescent="0.3">
      <c r="A166" s="6">
        <v>46152</v>
      </c>
      <c r="B166" t="s">
        <v>8</v>
      </c>
      <c r="D166" s="7"/>
    </row>
    <row r="167" spans="1:4" x14ac:dyDescent="0.3">
      <c r="A167" s="6">
        <v>46153</v>
      </c>
      <c r="B167" t="s">
        <v>8</v>
      </c>
      <c r="D167" s="7"/>
    </row>
    <row r="168" spans="1:4" x14ac:dyDescent="0.3">
      <c r="A168" s="6">
        <v>46154</v>
      </c>
      <c r="B168" t="s">
        <v>8</v>
      </c>
      <c r="D168" s="7"/>
    </row>
    <row r="169" spans="1:4" x14ac:dyDescent="0.3">
      <c r="A169" s="6">
        <v>46155</v>
      </c>
      <c r="B169" t="s">
        <v>8</v>
      </c>
      <c r="D169" s="7"/>
    </row>
    <row r="170" spans="1:4" x14ac:dyDescent="0.3">
      <c r="A170" s="6">
        <v>46156</v>
      </c>
      <c r="B170" t="s">
        <v>8</v>
      </c>
      <c r="D170" s="7"/>
    </row>
    <row r="171" spans="1:4" x14ac:dyDescent="0.3">
      <c r="A171" s="6">
        <v>46157</v>
      </c>
      <c r="B171" t="s">
        <v>8</v>
      </c>
      <c r="D171" s="7">
        <v>825447.06</v>
      </c>
    </row>
    <row r="172" spans="1:4" x14ac:dyDescent="0.3">
      <c r="A172" s="6">
        <v>46158</v>
      </c>
      <c r="B172" t="s">
        <v>8</v>
      </c>
      <c r="D172" s="7">
        <v>24101.27</v>
      </c>
    </row>
    <row r="173" spans="1:4" x14ac:dyDescent="0.3">
      <c r="A173" s="6">
        <v>46159</v>
      </c>
      <c r="B173" t="s">
        <v>8</v>
      </c>
      <c r="D173" s="7">
        <v>48667.16</v>
      </c>
    </row>
    <row r="174" spans="1:4" x14ac:dyDescent="0.3">
      <c r="A174" s="6">
        <v>46160</v>
      </c>
      <c r="B174" t="s">
        <v>8</v>
      </c>
      <c r="D174" s="7">
        <v>73943.199999999997</v>
      </c>
    </row>
    <row r="175" spans="1:4" x14ac:dyDescent="0.3">
      <c r="A175" s="6">
        <v>46161</v>
      </c>
      <c r="B175" t="s">
        <v>8</v>
      </c>
      <c r="D175" s="7">
        <v>27467.599999999999</v>
      </c>
    </row>
    <row r="176" spans="1:4" x14ac:dyDescent="0.3">
      <c r="A176" s="6">
        <v>46162</v>
      </c>
      <c r="B176" t="s">
        <v>8</v>
      </c>
      <c r="D176" s="7">
        <v>69499.58</v>
      </c>
    </row>
    <row r="177" spans="1:5" x14ac:dyDescent="0.3">
      <c r="A177" s="6">
        <v>46163</v>
      </c>
      <c r="B177" t="s">
        <v>8</v>
      </c>
      <c r="D177" s="7">
        <v>34247.199999999997</v>
      </c>
    </row>
    <row r="178" spans="1:5" x14ac:dyDescent="0.3">
      <c r="A178" s="6">
        <v>46164</v>
      </c>
      <c r="B178" t="s">
        <v>8</v>
      </c>
      <c r="D178" s="7">
        <v>43225.35</v>
      </c>
    </row>
    <row r="179" spans="1:5" x14ac:dyDescent="0.3">
      <c r="A179" s="6">
        <v>46165</v>
      </c>
      <c r="B179" t="s">
        <v>8</v>
      </c>
      <c r="D179" s="7">
        <v>27977.599999999999</v>
      </c>
    </row>
    <row r="180" spans="1:5" x14ac:dyDescent="0.3">
      <c r="A180" s="6">
        <v>46166</v>
      </c>
      <c r="B180" t="s">
        <v>8</v>
      </c>
      <c r="D180" s="7"/>
    </row>
    <row r="181" spans="1:5" x14ac:dyDescent="0.3">
      <c r="A181" s="6">
        <v>46167</v>
      </c>
      <c r="B181" t="s">
        <v>8</v>
      </c>
      <c r="D181" s="7"/>
    </row>
    <row r="182" spans="1:5" x14ac:dyDescent="0.3">
      <c r="A182" s="6">
        <v>46168</v>
      </c>
      <c r="B182" t="s">
        <v>8</v>
      </c>
      <c r="D182" s="7"/>
    </row>
    <row r="183" spans="1:5" x14ac:dyDescent="0.3">
      <c r="A183" s="6">
        <v>46169</v>
      </c>
      <c r="B183" t="s">
        <v>8</v>
      </c>
      <c r="D183" s="7"/>
    </row>
    <row r="184" spans="1:5" x14ac:dyDescent="0.3">
      <c r="A184" s="6">
        <v>46170</v>
      </c>
      <c r="B184" t="s">
        <v>8</v>
      </c>
      <c r="D184" s="7"/>
    </row>
    <row r="185" spans="1:5" x14ac:dyDescent="0.3">
      <c r="A185" s="6">
        <v>46171</v>
      </c>
      <c r="B185" t="s">
        <v>8</v>
      </c>
      <c r="D185" s="7"/>
    </row>
    <row r="186" spans="1:5" x14ac:dyDescent="0.3">
      <c r="A186" s="6">
        <v>46172</v>
      </c>
      <c r="B186" t="s">
        <v>8</v>
      </c>
      <c r="D186" s="7"/>
    </row>
    <row r="187" spans="1:5" x14ac:dyDescent="0.3">
      <c r="A187" s="6">
        <v>46173</v>
      </c>
      <c r="B187" t="s">
        <v>8</v>
      </c>
      <c r="D187" s="7"/>
    </row>
    <row r="188" spans="1:5" x14ac:dyDescent="0.3">
      <c r="A188" s="6">
        <v>46143</v>
      </c>
      <c r="B188" t="s">
        <v>21</v>
      </c>
      <c r="E188" s="7">
        <v>407769.1</v>
      </c>
    </row>
    <row r="189" spans="1:5" x14ac:dyDescent="0.3">
      <c r="A189" s="6">
        <v>46144</v>
      </c>
      <c r="B189" t="s">
        <v>21</v>
      </c>
      <c r="E189" s="7">
        <v>266083.40000000002</v>
      </c>
    </row>
    <row r="190" spans="1:5" x14ac:dyDescent="0.3">
      <c r="A190" s="6">
        <v>46145</v>
      </c>
      <c r="B190" t="s">
        <v>21</v>
      </c>
      <c r="E190" s="7">
        <v>273804.59999999998</v>
      </c>
    </row>
    <row r="191" spans="1:5" x14ac:dyDescent="0.3">
      <c r="A191" s="6">
        <v>46146</v>
      </c>
      <c r="B191" t="s">
        <v>21</v>
      </c>
      <c r="E191" s="7">
        <v>306598</v>
      </c>
    </row>
    <row r="192" spans="1:5" x14ac:dyDescent="0.3">
      <c r="A192" s="6">
        <v>46147</v>
      </c>
      <c r="B192" t="s">
        <v>21</v>
      </c>
      <c r="E192" s="7">
        <v>251227.9</v>
      </c>
    </row>
    <row r="193" spans="1:5" x14ac:dyDescent="0.3">
      <c r="A193" s="6">
        <v>46148</v>
      </c>
      <c r="B193" t="s">
        <v>21</v>
      </c>
      <c r="E193" s="7">
        <v>404028.1</v>
      </c>
    </row>
    <row r="194" spans="1:5" x14ac:dyDescent="0.3">
      <c r="A194" s="6">
        <v>46149</v>
      </c>
      <c r="B194" t="s">
        <v>21</v>
      </c>
      <c r="E194" s="7">
        <v>484569.8</v>
      </c>
    </row>
    <row r="195" spans="1:5" x14ac:dyDescent="0.3">
      <c r="A195" s="6">
        <v>46150</v>
      </c>
      <c r="B195" t="s">
        <v>21</v>
      </c>
      <c r="E195" s="7">
        <v>394281.4</v>
      </c>
    </row>
    <row r="196" spans="1:5" x14ac:dyDescent="0.3">
      <c r="A196" s="6">
        <v>46151</v>
      </c>
      <c r="B196" t="s">
        <v>21</v>
      </c>
      <c r="E196" s="7">
        <v>345969.1</v>
      </c>
    </row>
    <row r="197" spans="1:5" x14ac:dyDescent="0.3">
      <c r="A197" s="6">
        <v>46152</v>
      </c>
      <c r="B197" t="s">
        <v>21</v>
      </c>
      <c r="E197" s="7">
        <v>468733.7</v>
      </c>
    </row>
    <row r="198" spans="1:5" x14ac:dyDescent="0.3">
      <c r="A198" s="6">
        <v>46153</v>
      </c>
      <c r="B198" t="s">
        <v>21</v>
      </c>
      <c r="E198" s="7">
        <v>409440.3</v>
      </c>
    </row>
    <row r="199" spans="1:5" x14ac:dyDescent="0.3">
      <c r="A199" s="6">
        <v>46154</v>
      </c>
      <c r="B199" t="s">
        <v>21</v>
      </c>
      <c r="E199" s="7">
        <v>437336.4</v>
      </c>
    </row>
    <row r="200" spans="1:5" x14ac:dyDescent="0.3">
      <c r="A200" s="6">
        <v>46155</v>
      </c>
      <c r="B200" t="s">
        <v>21</v>
      </c>
      <c r="E200" s="7">
        <v>375714.3</v>
      </c>
    </row>
    <row r="201" spans="1:5" x14ac:dyDescent="0.3">
      <c r="A201" s="6">
        <v>46156</v>
      </c>
      <c r="B201" t="s">
        <v>21</v>
      </c>
      <c r="E201" s="7">
        <v>399850.4</v>
      </c>
    </row>
    <row r="202" spans="1:5" x14ac:dyDescent="0.3">
      <c r="A202" s="6">
        <v>46157</v>
      </c>
      <c r="B202" t="s">
        <v>21</v>
      </c>
      <c r="E202" s="7">
        <v>415528.5</v>
      </c>
    </row>
    <row r="203" spans="1:5" x14ac:dyDescent="0.3">
      <c r="A203" s="6">
        <v>46158</v>
      </c>
      <c r="B203" t="s">
        <v>21</v>
      </c>
      <c r="E203" s="7">
        <v>397134</v>
      </c>
    </row>
    <row r="204" spans="1:5" x14ac:dyDescent="0.3">
      <c r="A204" s="6">
        <v>46159</v>
      </c>
      <c r="B204" t="s">
        <v>21</v>
      </c>
      <c r="E204" s="7">
        <v>310164.5</v>
      </c>
    </row>
    <row r="205" spans="1:5" x14ac:dyDescent="0.3">
      <c r="A205" s="6">
        <v>46160</v>
      </c>
      <c r="B205" t="s">
        <v>21</v>
      </c>
      <c r="E205" s="7">
        <v>435629.5</v>
      </c>
    </row>
    <row r="206" spans="1:5" x14ac:dyDescent="0.3">
      <c r="A206" s="6">
        <v>46161</v>
      </c>
      <c r="B206" t="s">
        <v>21</v>
      </c>
      <c r="E206" s="7">
        <v>309675.7</v>
      </c>
    </row>
    <row r="207" spans="1:5" x14ac:dyDescent="0.3">
      <c r="A207" s="6">
        <v>46162</v>
      </c>
      <c r="B207" t="s">
        <v>21</v>
      </c>
      <c r="E207" s="7">
        <v>380264.3</v>
      </c>
    </row>
    <row r="208" spans="1:5" x14ac:dyDescent="0.3">
      <c r="A208" s="6">
        <v>46163</v>
      </c>
      <c r="B208" t="s">
        <v>21</v>
      </c>
      <c r="E208" s="7">
        <v>330722.5</v>
      </c>
    </row>
    <row r="209" spans="1:5" x14ac:dyDescent="0.3">
      <c r="A209" s="6">
        <v>46164</v>
      </c>
      <c r="B209" t="s">
        <v>21</v>
      </c>
      <c r="E209" s="7">
        <v>439614.2</v>
      </c>
    </row>
    <row r="210" spans="1:5" x14ac:dyDescent="0.3">
      <c r="A210" s="6">
        <v>46165</v>
      </c>
      <c r="B210" t="s">
        <v>21</v>
      </c>
      <c r="E210" s="7">
        <v>330229.09999999998</v>
      </c>
    </row>
    <row r="211" spans="1:5" x14ac:dyDescent="0.3">
      <c r="A211" s="6">
        <v>46166</v>
      </c>
      <c r="B211" t="s">
        <v>21</v>
      </c>
      <c r="E211" s="7"/>
    </row>
    <row r="212" spans="1:5" x14ac:dyDescent="0.3">
      <c r="A212" s="6">
        <v>46167</v>
      </c>
      <c r="B212" t="s">
        <v>21</v>
      </c>
      <c r="E212" s="7"/>
    </row>
    <row r="213" spans="1:5" x14ac:dyDescent="0.3">
      <c r="A213" s="6">
        <v>46168</v>
      </c>
      <c r="B213" t="s">
        <v>21</v>
      </c>
      <c r="E213" s="7"/>
    </row>
    <row r="214" spans="1:5" x14ac:dyDescent="0.3">
      <c r="A214" s="6">
        <v>46169</v>
      </c>
      <c r="B214" t="s">
        <v>21</v>
      </c>
      <c r="E214" s="7"/>
    </row>
    <row r="215" spans="1:5" x14ac:dyDescent="0.3">
      <c r="A215" s="6">
        <v>46170</v>
      </c>
      <c r="B215" t="s">
        <v>21</v>
      </c>
      <c r="E215" s="7"/>
    </row>
    <row r="216" spans="1:5" x14ac:dyDescent="0.3">
      <c r="A216" s="6">
        <v>46171</v>
      </c>
      <c r="B216" t="s">
        <v>21</v>
      </c>
      <c r="E216" s="7"/>
    </row>
    <row r="217" spans="1:5" x14ac:dyDescent="0.3">
      <c r="A217" s="6">
        <v>46172</v>
      </c>
      <c r="B217" t="s">
        <v>21</v>
      </c>
      <c r="E217" s="7"/>
    </row>
    <row r="218" spans="1:5" x14ac:dyDescent="0.3">
      <c r="A218" s="6">
        <v>46173</v>
      </c>
      <c r="B218" t="s">
        <v>21</v>
      </c>
      <c r="E218" s="7"/>
    </row>
    <row r="219" spans="1:5" x14ac:dyDescent="0.3">
      <c r="A219" s="6">
        <v>46143</v>
      </c>
      <c r="B219" t="s">
        <v>22</v>
      </c>
      <c r="E219" s="7">
        <v>28423.9</v>
      </c>
    </row>
    <row r="220" spans="1:5" x14ac:dyDescent="0.3">
      <c r="A220" s="6">
        <v>46144</v>
      </c>
      <c r="B220" t="s">
        <v>22</v>
      </c>
      <c r="E220" s="7">
        <v>21660</v>
      </c>
    </row>
    <row r="221" spans="1:5" x14ac:dyDescent="0.3">
      <c r="A221" s="6">
        <v>46145</v>
      </c>
      <c r="B221" t="s">
        <v>22</v>
      </c>
      <c r="E221" s="7">
        <v>19239.5</v>
      </c>
    </row>
    <row r="222" spans="1:5" x14ac:dyDescent="0.3">
      <c r="A222" s="6">
        <v>46146</v>
      </c>
      <c r="B222" t="s">
        <v>22</v>
      </c>
      <c r="E222" s="7">
        <v>19771.7</v>
      </c>
    </row>
    <row r="223" spans="1:5" x14ac:dyDescent="0.3">
      <c r="A223" s="6">
        <v>46147</v>
      </c>
      <c r="B223" t="s">
        <v>22</v>
      </c>
      <c r="E223" s="7">
        <v>19713.7</v>
      </c>
    </row>
    <row r="224" spans="1:5" x14ac:dyDescent="0.3">
      <c r="A224" s="6">
        <v>46148</v>
      </c>
      <c r="B224" t="s">
        <v>22</v>
      </c>
      <c r="E224" s="7">
        <v>30118.799999999999</v>
      </c>
    </row>
    <row r="225" spans="1:5" x14ac:dyDescent="0.3">
      <c r="A225" s="6">
        <v>46149</v>
      </c>
      <c r="B225" t="s">
        <v>22</v>
      </c>
      <c r="E225" s="7">
        <v>43849.599999999999</v>
      </c>
    </row>
    <row r="226" spans="1:5" x14ac:dyDescent="0.3">
      <c r="A226" s="6">
        <v>46150</v>
      </c>
      <c r="B226" t="s">
        <v>22</v>
      </c>
      <c r="E226" s="7">
        <v>54503.4</v>
      </c>
    </row>
    <row r="227" spans="1:5" x14ac:dyDescent="0.3">
      <c r="A227" s="6">
        <v>46151</v>
      </c>
      <c r="B227" t="s">
        <v>22</v>
      </c>
      <c r="E227" s="7">
        <v>73898.2</v>
      </c>
    </row>
    <row r="228" spans="1:5" x14ac:dyDescent="0.3">
      <c r="A228" s="6">
        <v>46152</v>
      </c>
      <c r="B228" t="s">
        <v>22</v>
      </c>
      <c r="E228" s="7">
        <v>36366.199999999997</v>
      </c>
    </row>
    <row r="229" spans="1:5" x14ac:dyDescent="0.3">
      <c r="A229" s="6">
        <v>46153</v>
      </c>
      <c r="B229" t="s">
        <v>22</v>
      </c>
      <c r="E229" s="7">
        <v>52224.3</v>
      </c>
    </row>
    <row r="230" spans="1:5" x14ac:dyDescent="0.3">
      <c r="A230" s="6">
        <v>46154</v>
      </c>
      <c r="B230" t="s">
        <v>22</v>
      </c>
      <c r="E230" s="7">
        <v>58293.9</v>
      </c>
    </row>
    <row r="231" spans="1:5" x14ac:dyDescent="0.3">
      <c r="A231" s="6">
        <v>46155</v>
      </c>
      <c r="B231" t="s">
        <v>22</v>
      </c>
      <c r="E231" s="7">
        <v>37156</v>
      </c>
    </row>
    <row r="232" spans="1:5" x14ac:dyDescent="0.3">
      <c r="A232" s="6">
        <v>46156</v>
      </c>
      <c r="B232" t="s">
        <v>22</v>
      </c>
      <c r="E232" s="7">
        <v>43641</v>
      </c>
    </row>
    <row r="233" spans="1:5" x14ac:dyDescent="0.3">
      <c r="A233" s="6">
        <v>46157</v>
      </c>
      <c r="B233" t="s">
        <v>22</v>
      </c>
      <c r="E233" s="7">
        <v>40949.199999999997</v>
      </c>
    </row>
    <row r="234" spans="1:5" x14ac:dyDescent="0.3">
      <c r="A234" s="6">
        <v>46158</v>
      </c>
      <c r="B234" t="s">
        <v>22</v>
      </c>
      <c r="E234" s="7">
        <v>25783.7</v>
      </c>
    </row>
    <row r="235" spans="1:5" x14ac:dyDescent="0.3">
      <c r="A235" s="6">
        <v>46159</v>
      </c>
      <c r="B235" t="s">
        <v>22</v>
      </c>
      <c r="E235" s="7">
        <v>25427</v>
      </c>
    </row>
    <row r="236" spans="1:5" x14ac:dyDescent="0.3">
      <c r="A236" s="6">
        <v>46160</v>
      </c>
      <c r="B236" t="s">
        <v>22</v>
      </c>
      <c r="E236" s="7">
        <v>23306</v>
      </c>
    </row>
    <row r="237" spans="1:5" x14ac:dyDescent="0.3">
      <c r="A237" s="6">
        <v>46161</v>
      </c>
      <c r="B237" t="s">
        <v>22</v>
      </c>
      <c r="E237" s="7">
        <v>44940</v>
      </c>
    </row>
    <row r="238" spans="1:5" x14ac:dyDescent="0.3">
      <c r="A238" s="6">
        <v>46162</v>
      </c>
      <c r="B238" t="s">
        <v>22</v>
      </c>
      <c r="E238" s="7">
        <v>32672.3</v>
      </c>
    </row>
    <row r="239" spans="1:5" x14ac:dyDescent="0.3">
      <c r="A239" s="6">
        <v>46163</v>
      </c>
      <c r="B239" t="s">
        <v>22</v>
      </c>
      <c r="E239" s="7">
        <v>27877.599999999999</v>
      </c>
    </row>
    <row r="240" spans="1:5" x14ac:dyDescent="0.3">
      <c r="A240" s="6">
        <v>46164</v>
      </c>
      <c r="B240" t="s">
        <v>22</v>
      </c>
      <c r="E240" s="7">
        <v>58839</v>
      </c>
    </row>
    <row r="241" spans="1:5" x14ac:dyDescent="0.3">
      <c r="A241" s="6">
        <v>46165</v>
      </c>
      <c r="B241" t="s">
        <v>22</v>
      </c>
      <c r="E241" s="7">
        <v>19904.599999999999</v>
      </c>
    </row>
    <row r="242" spans="1:5" x14ac:dyDescent="0.3">
      <c r="A242" s="6">
        <v>46166</v>
      </c>
      <c r="B242" t="s">
        <v>22</v>
      </c>
      <c r="E242" s="7"/>
    </row>
    <row r="243" spans="1:5" x14ac:dyDescent="0.3">
      <c r="A243" s="6">
        <v>46167</v>
      </c>
      <c r="B243" t="s">
        <v>22</v>
      </c>
      <c r="E243" s="7"/>
    </row>
    <row r="244" spans="1:5" x14ac:dyDescent="0.3">
      <c r="A244" s="6">
        <v>46168</v>
      </c>
      <c r="B244" t="s">
        <v>22</v>
      </c>
      <c r="E244" s="7"/>
    </row>
    <row r="245" spans="1:5" x14ac:dyDescent="0.3">
      <c r="A245" s="6">
        <v>46169</v>
      </c>
      <c r="B245" t="s">
        <v>22</v>
      </c>
      <c r="E245" s="7"/>
    </row>
    <row r="246" spans="1:5" x14ac:dyDescent="0.3">
      <c r="A246" s="6">
        <v>46170</v>
      </c>
      <c r="B246" t="s">
        <v>22</v>
      </c>
      <c r="E246" s="7"/>
    </row>
    <row r="247" spans="1:5" x14ac:dyDescent="0.3">
      <c r="A247" s="6">
        <v>46171</v>
      </c>
      <c r="B247" t="s">
        <v>22</v>
      </c>
      <c r="E247" s="7"/>
    </row>
    <row r="248" spans="1:5" x14ac:dyDescent="0.3">
      <c r="A248" s="6">
        <v>46172</v>
      </c>
      <c r="B248" t="s">
        <v>22</v>
      </c>
      <c r="E248" s="7"/>
    </row>
    <row r="249" spans="1:5" x14ac:dyDescent="0.3">
      <c r="A249" s="6">
        <v>46173</v>
      </c>
      <c r="B249" t="s">
        <v>22</v>
      </c>
      <c r="E249" s="7"/>
    </row>
    <row r="250" spans="1:5" x14ac:dyDescent="0.3">
      <c r="A250" s="6">
        <v>46143</v>
      </c>
      <c r="B250" t="s">
        <v>23</v>
      </c>
      <c r="E250" s="7">
        <v>59529.8</v>
      </c>
    </row>
    <row r="251" spans="1:5" x14ac:dyDescent="0.3">
      <c r="A251" s="6">
        <v>46144</v>
      </c>
      <c r="B251" t="s">
        <v>23</v>
      </c>
      <c r="E251" s="7">
        <v>30176.1</v>
      </c>
    </row>
    <row r="252" spans="1:5" x14ac:dyDescent="0.3">
      <c r="A252" s="6">
        <v>46145</v>
      </c>
      <c r="B252" t="s">
        <v>23</v>
      </c>
      <c r="E252" s="7">
        <v>20361.599999999999</v>
      </c>
    </row>
    <row r="253" spans="1:5" x14ac:dyDescent="0.3">
      <c r="A253" s="6">
        <v>46146</v>
      </c>
      <c r="B253" t="s">
        <v>23</v>
      </c>
      <c r="E253" s="7">
        <v>20401.3</v>
      </c>
    </row>
    <row r="254" spans="1:5" x14ac:dyDescent="0.3">
      <c r="A254" s="6">
        <v>46147</v>
      </c>
      <c r="B254" t="s">
        <v>23</v>
      </c>
      <c r="E254" s="7">
        <v>22976</v>
      </c>
    </row>
    <row r="255" spans="1:5" x14ac:dyDescent="0.3">
      <c r="A255" s="6">
        <v>46148</v>
      </c>
      <c r="B255" t="s">
        <v>23</v>
      </c>
      <c r="E255" s="7">
        <v>40592.199999999997</v>
      </c>
    </row>
    <row r="256" spans="1:5" x14ac:dyDescent="0.3">
      <c r="A256" s="6">
        <v>46149</v>
      </c>
      <c r="B256" t="s">
        <v>23</v>
      </c>
      <c r="E256" s="7">
        <v>43573.4</v>
      </c>
    </row>
    <row r="257" spans="1:5" x14ac:dyDescent="0.3">
      <c r="A257" s="6">
        <v>46150</v>
      </c>
      <c r="B257" t="s">
        <v>23</v>
      </c>
      <c r="E257" s="7">
        <v>47766.400000000001</v>
      </c>
    </row>
    <row r="258" spans="1:5" x14ac:dyDescent="0.3">
      <c r="A258" s="6">
        <v>46151</v>
      </c>
      <c r="B258" t="s">
        <v>23</v>
      </c>
      <c r="E258" s="7">
        <v>37573.599999999999</v>
      </c>
    </row>
    <row r="259" spans="1:5" x14ac:dyDescent="0.3">
      <c r="A259" s="6">
        <v>46152</v>
      </c>
      <c r="B259" t="s">
        <v>23</v>
      </c>
      <c r="E259" s="7">
        <v>121107.6</v>
      </c>
    </row>
    <row r="260" spans="1:5" x14ac:dyDescent="0.3">
      <c r="A260" s="6">
        <v>46153</v>
      </c>
      <c r="B260" t="s">
        <v>23</v>
      </c>
      <c r="E260" s="7">
        <v>95818.1</v>
      </c>
    </row>
    <row r="261" spans="1:5" x14ac:dyDescent="0.3">
      <c r="A261" s="6">
        <v>46154</v>
      </c>
      <c r="B261" t="s">
        <v>23</v>
      </c>
      <c r="E261" s="7">
        <v>132181</v>
      </c>
    </row>
    <row r="262" spans="1:5" x14ac:dyDescent="0.3">
      <c r="A262" s="6">
        <v>46155</v>
      </c>
      <c r="B262" t="s">
        <v>23</v>
      </c>
      <c r="E262" s="7">
        <v>98512.4</v>
      </c>
    </row>
    <row r="263" spans="1:5" x14ac:dyDescent="0.3">
      <c r="A263" s="6">
        <v>46156</v>
      </c>
      <c r="B263" t="s">
        <v>23</v>
      </c>
      <c r="E263" s="7">
        <v>87782.8</v>
      </c>
    </row>
    <row r="264" spans="1:5" x14ac:dyDescent="0.3">
      <c r="A264" s="6">
        <v>46157</v>
      </c>
      <c r="B264" t="s">
        <v>23</v>
      </c>
      <c r="E264" s="7">
        <v>92886.7</v>
      </c>
    </row>
    <row r="265" spans="1:5" x14ac:dyDescent="0.3">
      <c r="A265" s="6">
        <v>46158</v>
      </c>
      <c r="B265" t="s">
        <v>23</v>
      </c>
      <c r="E265" s="7">
        <v>72052.900000000009</v>
      </c>
    </row>
    <row r="266" spans="1:5" x14ac:dyDescent="0.3">
      <c r="A266" s="6">
        <v>46159</v>
      </c>
      <c r="B266" t="s">
        <v>23</v>
      </c>
      <c r="E266" s="7">
        <v>24835.8</v>
      </c>
    </row>
    <row r="267" spans="1:5" x14ac:dyDescent="0.3">
      <c r="A267" s="6">
        <v>46160</v>
      </c>
      <c r="B267" t="s">
        <v>23</v>
      </c>
      <c r="E267" s="7">
        <v>44773.3</v>
      </c>
    </row>
    <row r="268" spans="1:5" x14ac:dyDescent="0.3">
      <c r="A268" s="6">
        <v>46161</v>
      </c>
      <c r="B268" t="s">
        <v>23</v>
      </c>
      <c r="E268" s="7">
        <v>35920.6</v>
      </c>
    </row>
    <row r="269" spans="1:5" x14ac:dyDescent="0.3">
      <c r="A269" s="6">
        <v>46162</v>
      </c>
      <c r="B269" t="s">
        <v>23</v>
      </c>
      <c r="E269" s="7">
        <v>47984.700000000004</v>
      </c>
    </row>
    <row r="270" spans="1:5" x14ac:dyDescent="0.3">
      <c r="A270" s="6">
        <v>46163</v>
      </c>
      <c r="B270" t="s">
        <v>23</v>
      </c>
      <c r="E270" s="7">
        <v>72236.5</v>
      </c>
    </row>
    <row r="271" spans="1:5" x14ac:dyDescent="0.3">
      <c r="A271" s="6">
        <v>46164</v>
      </c>
      <c r="B271" t="s">
        <v>23</v>
      </c>
      <c r="E271" s="7">
        <v>68564.7</v>
      </c>
    </row>
    <row r="272" spans="1:5" x14ac:dyDescent="0.3">
      <c r="A272" s="6">
        <v>46165</v>
      </c>
      <c r="B272" t="s">
        <v>23</v>
      </c>
      <c r="E272" s="7">
        <v>56400.200000000004</v>
      </c>
    </row>
    <row r="273" spans="1:5" x14ac:dyDescent="0.3">
      <c r="A273" s="6">
        <v>46166</v>
      </c>
      <c r="B273" t="s">
        <v>23</v>
      </c>
      <c r="E273" s="7"/>
    </row>
    <row r="274" spans="1:5" x14ac:dyDescent="0.3">
      <c r="A274" s="6">
        <v>46167</v>
      </c>
      <c r="B274" t="s">
        <v>23</v>
      </c>
      <c r="E274" s="7"/>
    </row>
    <row r="275" spans="1:5" x14ac:dyDescent="0.3">
      <c r="A275" s="6">
        <v>46168</v>
      </c>
      <c r="B275" t="s">
        <v>23</v>
      </c>
      <c r="E275" s="7"/>
    </row>
    <row r="276" spans="1:5" x14ac:dyDescent="0.3">
      <c r="A276" s="6">
        <v>46169</v>
      </c>
      <c r="B276" t="s">
        <v>23</v>
      </c>
      <c r="E276" s="7"/>
    </row>
    <row r="277" spans="1:5" x14ac:dyDescent="0.3">
      <c r="A277" s="6">
        <v>46170</v>
      </c>
      <c r="B277" t="s">
        <v>23</v>
      </c>
      <c r="E277" s="7"/>
    </row>
    <row r="278" spans="1:5" x14ac:dyDescent="0.3">
      <c r="A278" s="6">
        <v>46171</v>
      </c>
      <c r="B278" t="s">
        <v>23</v>
      </c>
      <c r="E278" s="7"/>
    </row>
    <row r="279" spans="1:5" x14ac:dyDescent="0.3">
      <c r="A279" s="6">
        <v>46172</v>
      </c>
      <c r="B279" t="s">
        <v>23</v>
      </c>
      <c r="E279" s="7"/>
    </row>
    <row r="280" spans="1:5" x14ac:dyDescent="0.3">
      <c r="A280" s="6">
        <v>46173</v>
      </c>
      <c r="B280" t="s">
        <v>23</v>
      </c>
      <c r="E280" s="7"/>
    </row>
    <row r="281" spans="1:5" x14ac:dyDescent="0.3">
      <c r="A281" s="6">
        <v>46143</v>
      </c>
      <c r="B281" t="s">
        <v>24</v>
      </c>
      <c r="E281" s="7">
        <v>8100.880000000001</v>
      </c>
    </row>
    <row r="282" spans="1:5" x14ac:dyDescent="0.3">
      <c r="A282" s="6">
        <v>46144</v>
      </c>
      <c r="B282" t="s">
        <v>24</v>
      </c>
      <c r="E282" s="7">
        <v>2048.0299999999997</v>
      </c>
    </row>
    <row r="283" spans="1:5" x14ac:dyDescent="0.3">
      <c r="A283" s="6">
        <v>46145</v>
      </c>
      <c r="B283" t="s">
        <v>24</v>
      </c>
      <c r="E283" s="7">
        <v>2481.8600000000006</v>
      </c>
    </row>
    <row r="284" spans="1:5" x14ac:dyDescent="0.3">
      <c r="A284" s="6">
        <v>46146</v>
      </c>
      <c r="B284" t="s">
        <v>24</v>
      </c>
      <c r="E284" s="7">
        <v>1240.1200000000008</v>
      </c>
    </row>
    <row r="285" spans="1:5" x14ac:dyDescent="0.3">
      <c r="A285" s="6">
        <v>46147</v>
      </c>
      <c r="B285" t="s">
        <v>24</v>
      </c>
      <c r="E285" s="7">
        <v>688.63999999999942</v>
      </c>
    </row>
    <row r="286" spans="1:5" x14ac:dyDescent="0.3">
      <c r="A286" s="6">
        <v>46148</v>
      </c>
      <c r="B286" t="s">
        <v>24</v>
      </c>
      <c r="E286" s="7">
        <v>6886.6800000000021</v>
      </c>
    </row>
    <row r="287" spans="1:5" x14ac:dyDescent="0.3">
      <c r="A287" s="6">
        <v>46149</v>
      </c>
      <c r="B287" t="s">
        <v>24</v>
      </c>
      <c r="E287" s="7">
        <v>42117.99</v>
      </c>
    </row>
    <row r="288" spans="1:5" x14ac:dyDescent="0.3">
      <c r="A288" s="6">
        <v>46150</v>
      </c>
      <c r="B288" t="s">
        <v>24</v>
      </c>
      <c r="E288" s="7">
        <v>54462.54</v>
      </c>
    </row>
    <row r="289" spans="1:5" x14ac:dyDescent="0.3">
      <c r="A289" s="6">
        <v>46151</v>
      </c>
      <c r="B289" t="s">
        <v>24</v>
      </c>
      <c r="E289" s="7">
        <v>50829.770000000004</v>
      </c>
    </row>
    <row r="290" spans="1:5" x14ac:dyDescent="0.3">
      <c r="A290" s="6">
        <v>46152</v>
      </c>
      <c r="B290" t="s">
        <v>24</v>
      </c>
      <c r="E290" s="7">
        <v>1868.4300000000003</v>
      </c>
    </row>
    <row r="291" spans="1:5" x14ac:dyDescent="0.3">
      <c r="A291" s="6">
        <v>46153</v>
      </c>
      <c r="B291" t="s">
        <v>24</v>
      </c>
      <c r="E291" s="7">
        <v>22960.160000000003</v>
      </c>
    </row>
    <row r="292" spans="1:5" x14ac:dyDescent="0.3">
      <c r="A292" s="6">
        <v>46154</v>
      </c>
      <c r="B292" t="s">
        <v>24</v>
      </c>
      <c r="E292" s="7">
        <v>13949.400000000001</v>
      </c>
    </row>
    <row r="293" spans="1:5" x14ac:dyDescent="0.3">
      <c r="A293" s="6">
        <v>46155</v>
      </c>
      <c r="B293" t="s">
        <v>24</v>
      </c>
      <c r="E293" s="7">
        <v>10440.419999999998</v>
      </c>
    </row>
    <row r="294" spans="1:5" x14ac:dyDescent="0.3">
      <c r="A294" s="6">
        <v>46156</v>
      </c>
      <c r="B294" t="s">
        <v>24</v>
      </c>
      <c r="E294" s="7">
        <v>11473.82</v>
      </c>
    </row>
    <row r="295" spans="1:5" x14ac:dyDescent="0.3">
      <c r="A295" s="6">
        <v>46157</v>
      </c>
      <c r="B295" t="s">
        <v>24</v>
      </c>
      <c r="E295" s="7">
        <v>18164.3</v>
      </c>
    </row>
    <row r="296" spans="1:5" x14ac:dyDescent="0.3">
      <c r="A296" s="6">
        <v>46158</v>
      </c>
      <c r="B296" t="s">
        <v>24</v>
      </c>
      <c r="E296" s="7">
        <v>1004.0500000000002</v>
      </c>
    </row>
    <row r="297" spans="1:5" x14ac:dyDescent="0.3">
      <c r="A297" s="6">
        <v>46159</v>
      </c>
      <c r="B297" t="s">
        <v>24</v>
      </c>
      <c r="E297" s="7">
        <v>8049.5999999999985</v>
      </c>
    </row>
    <row r="298" spans="1:5" x14ac:dyDescent="0.3">
      <c r="A298" s="6">
        <v>46160</v>
      </c>
      <c r="B298" t="s">
        <v>24</v>
      </c>
      <c r="E298" s="7">
        <v>6165.0500000000011</v>
      </c>
    </row>
    <row r="299" spans="1:5" x14ac:dyDescent="0.3">
      <c r="A299" s="6">
        <v>46161</v>
      </c>
      <c r="B299" t="s">
        <v>24</v>
      </c>
      <c r="E299" s="7">
        <v>7769.9700000000012</v>
      </c>
    </row>
    <row r="300" spans="1:5" x14ac:dyDescent="0.3">
      <c r="A300" s="6">
        <v>46162</v>
      </c>
      <c r="B300" t="s">
        <v>24</v>
      </c>
      <c r="E300" s="7">
        <v>6856.8899999999994</v>
      </c>
    </row>
    <row r="301" spans="1:5" x14ac:dyDescent="0.3">
      <c r="A301" s="6">
        <v>46163</v>
      </c>
      <c r="B301" t="s">
        <v>24</v>
      </c>
      <c r="E301" s="7">
        <v>1.8000000000001819</v>
      </c>
    </row>
    <row r="302" spans="1:5" x14ac:dyDescent="0.3">
      <c r="A302" s="6">
        <v>46164</v>
      </c>
      <c r="B302" t="s">
        <v>24</v>
      </c>
      <c r="E302" s="7">
        <v>34718.910000000003</v>
      </c>
    </row>
    <row r="303" spans="1:5" x14ac:dyDescent="0.3">
      <c r="A303" s="6">
        <v>46165</v>
      </c>
      <c r="B303" t="s">
        <v>24</v>
      </c>
      <c r="E303" s="7">
        <v>1750.8900000000003</v>
      </c>
    </row>
    <row r="304" spans="1:5" x14ac:dyDescent="0.3">
      <c r="A304" s="6">
        <v>46166</v>
      </c>
      <c r="B304" t="s">
        <v>24</v>
      </c>
      <c r="E304" s="7"/>
    </row>
    <row r="305" spans="1:5" x14ac:dyDescent="0.3">
      <c r="A305" s="6">
        <v>46167</v>
      </c>
      <c r="B305" t="s">
        <v>24</v>
      </c>
      <c r="E305" s="7"/>
    </row>
    <row r="306" spans="1:5" x14ac:dyDescent="0.3">
      <c r="A306" s="6">
        <v>46168</v>
      </c>
      <c r="B306" t="s">
        <v>24</v>
      </c>
      <c r="E306" s="7"/>
    </row>
    <row r="307" spans="1:5" x14ac:dyDescent="0.3">
      <c r="A307" s="6">
        <v>46169</v>
      </c>
      <c r="B307" t="s">
        <v>24</v>
      </c>
      <c r="E307" s="7"/>
    </row>
    <row r="308" spans="1:5" x14ac:dyDescent="0.3">
      <c r="A308" s="6">
        <v>46170</v>
      </c>
      <c r="B308" t="s">
        <v>24</v>
      </c>
      <c r="E308" s="7"/>
    </row>
    <row r="309" spans="1:5" x14ac:dyDescent="0.3">
      <c r="A309" s="6">
        <v>46171</v>
      </c>
      <c r="B309" t="s">
        <v>24</v>
      </c>
      <c r="E309" s="7"/>
    </row>
    <row r="310" spans="1:5" x14ac:dyDescent="0.3">
      <c r="A310" s="6">
        <v>46172</v>
      </c>
      <c r="B310" t="s">
        <v>24</v>
      </c>
      <c r="E310" s="7"/>
    </row>
    <row r="311" spans="1:5" x14ac:dyDescent="0.3">
      <c r="A311" s="6">
        <v>46173</v>
      </c>
      <c r="B311" t="s">
        <v>24</v>
      </c>
      <c r="E311" s="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A5EB-9C24-4A2E-BC38-D3E115160A5F}">
  <dimension ref="A1:C9"/>
  <sheetViews>
    <sheetView workbookViewId="0">
      <selection activeCell="C11" sqref="C11"/>
    </sheetView>
  </sheetViews>
  <sheetFormatPr defaultRowHeight="14" x14ac:dyDescent="0.3"/>
  <cols>
    <col min="1" max="1" width="12.33203125" bestFit="1" customWidth="1"/>
  </cols>
  <sheetData>
    <row r="1" spans="1:3" x14ac:dyDescent="0.3">
      <c r="A1" t="s">
        <v>3</v>
      </c>
      <c r="B1" t="s">
        <v>11</v>
      </c>
      <c r="C1" t="s">
        <v>12</v>
      </c>
    </row>
    <row r="2" spans="1:3" ht="14.5" x14ac:dyDescent="0.3">
      <c r="A2" t="s">
        <v>6</v>
      </c>
      <c r="B2" t="s">
        <v>13</v>
      </c>
      <c r="C2" s="4">
        <f>94140272.1+1690897/0.8+62684118.9786+2008573/0.8+74856602.7062+42985030+2710267/0.8+6003388+71126807.5767+4448641/0.8</f>
        <v>365369191.86150002</v>
      </c>
    </row>
    <row r="3" spans="1:3" ht="14.5" x14ac:dyDescent="0.3">
      <c r="A3" t="s">
        <v>6</v>
      </c>
      <c r="B3" t="s">
        <v>14</v>
      </c>
      <c r="C3" s="4">
        <f>139497367.62+61102529.57+2710267+61158499+4448641</f>
        <v>268917304.19</v>
      </c>
    </row>
    <row r="4" spans="1:3" ht="14.5" x14ac:dyDescent="0.3">
      <c r="A4" t="s">
        <v>6</v>
      </c>
      <c r="B4" t="s">
        <v>15</v>
      </c>
      <c r="C4" s="4">
        <f>33905673.9437736+15319915.5294+161800+14478022+501069.811320755</f>
        <v>64366481.284494348</v>
      </c>
    </row>
    <row r="5" spans="1:3" ht="14.5" x14ac:dyDescent="0.3">
      <c r="A5" t="s">
        <v>16</v>
      </c>
      <c r="B5" t="s">
        <v>13</v>
      </c>
      <c r="C5" s="5">
        <f>97241732+32735483</f>
        <v>129977215</v>
      </c>
    </row>
    <row r="6" spans="1:3" ht="14.5" x14ac:dyDescent="0.3">
      <c r="A6" t="s">
        <v>17</v>
      </c>
      <c r="B6" t="s">
        <v>13</v>
      </c>
      <c r="C6" s="5">
        <v>5497910.62000087</v>
      </c>
    </row>
    <row r="7" spans="1:3" ht="14.5" x14ac:dyDescent="0.3">
      <c r="A7" t="s">
        <v>9</v>
      </c>
      <c r="B7" t="s">
        <v>13</v>
      </c>
      <c r="C7" s="4">
        <f>29042332.52+18812523.76+28835228.09+25076532.78</f>
        <v>101766617.15000001</v>
      </c>
    </row>
    <row r="8" spans="1:3" ht="14.5" x14ac:dyDescent="0.3">
      <c r="A8" t="s">
        <v>8</v>
      </c>
      <c r="B8" t="s">
        <v>13</v>
      </c>
      <c r="C8" s="4">
        <f>8640448.77-506700</f>
        <v>8133748.7699999996</v>
      </c>
    </row>
    <row r="9" spans="1:3" ht="14.5" x14ac:dyDescent="0.3">
      <c r="A9" t="s">
        <v>8</v>
      </c>
      <c r="B9" t="s">
        <v>14</v>
      </c>
      <c r="C9" s="4">
        <f>7360448.95-425110</f>
        <v>6935338.9500000002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E631-5850-42B1-99B5-1B4A1FC4E76B}">
  <dimension ref="A1:F109"/>
  <sheetViews>
    <sheetView tabSelected="1" topLeftCell="A69" workbookViewId="0">
      <selection activeCell="D86" sqref="D86:D91"/>
    </sheetView>
  </sheetViews>
  <sheetFormatPr defaultRowHeight="14" x14ac:dyDescent="0.3"/>
  <cols>
    <col min="1" max="1" width="4.83203125" bestFit="1" customWidth="1"/>
    <col min="2" max="4" width="10.4140625" bestFit="1" customWidth="1"/>
    <col min="5" max="5" width="13.75" bestFit="1" customWidth="1"/>
  </cols>
  <sheetData>
    <row r="1" spans="1:6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ht="16.5" x14ac:dyDescent="0.3">
      <c r="A2" s="3">
        <v>1</v>
      </c>
      <c r="B2" s="2">
        <f>C2/0.8</f>
        <v>123826807.938639</v>
      </c>
      <c r="C2" s="2">
        <v>99061446.3509112</v>
      </c>
      <c r="D2" s="2">
        <v>23226680.765000001</v>
      </c>
      <c r="E2" t="s">
        <v>6</v>
      </c>
      <c r="F2" t="s">
        <v>5</v>
      </c>
    </row>
    <row r="3" spans="1:6" ht="16.5" x14ac:dyDescent="0.3">
      <c r="A3" s="3">
        <v>2</v>
      </c>
      <c r="B3" s="2">
        <f t="shared" ref="B3:B6" si="0">C3/0.8</f>
        <v>89664469.59849</v>
      </c>
      <c r="C3" s="2">
        <v>71731575.678792</v>
      </c>
      <c r="D3" s="2">
        <v>16184643.320878301</v>
      </c>
      <c r="E3" t="s">
        <v>6</v>
      </c>
      <c r="F3" t="s">
        <v>5</v>
      </c>
    </row>
    <row r="4" spans="1:6" ht="16.5" x14ac:dyDescent="0.3">
      <c r="A4" s="3">
        <v>3</v>
      </c>
      <c r="B4" s="2">
        <f t="shared" si="0"/>
        <v>100539333.82053012</v>
      </c>
      <c r="C4" s="2">
        <v>80431467.056424096</v>
      </c>
      <c r="D4" s="2">
        <v>19171693.354208302</v>
      </c>
      <c r="E4" t="s">
        <v>6</v>
      </c>
      <c r="F4" t="s">
        <v>5</v>
      </c>
    </row>
    <row r="5" spans="1:6" ht="16.5" x14ac:dyDescent="0.3">
      <c r="A5" s="3">
        <v>4</v>
      </c>
      <c r="B5" s="2">
        <f t="shared" si="0"/>
        <v>105980080.74088861</v>
      </c>
      <c r="C5" s="2">
        <v>84784064.592710897</v>
      </c>
      <c r="D5" s="2">
        <v>19248292.538757399</v>
      </c>
      <c r="E5" t="s">
        <v>6</v>
      </c>
      <c r="F5" t="s">
        <v>5</v>
      </c>
    </row>
    <row r="6" spans="1:6" ht="16.5" x14ac:dyDescent="0.3">
      <c r="A6" s="3">
        <v>5</v>
      </c>
      <c r="B6" s="2">
        <f t="shared" si="0"/>
        <v>104686493.41249751</v>
      </c>
      <c r="C6" s="2">
        <v>83749194.729998007</v>
      </c>
      <c r="D6" s="2">
        <v>18317477.8855775</v>
      </c>
      <c r="E6" t="s">
        <v>6</v>
      </c>
      <c r="F6" t="s">
        <v>5</v>
      </c>
    </row>
    <row r="7" spans="1:6" ht="16.5" x14ac:dyDescent="0.3">
      <c r="A7" s="3">
        <v>6</v>
      </c>
      <c r="B7" s="2">
        <f>C7/0.8</f>
        <v>104298165.865585</v>
      </c>
      <c r="C7" s="2">
        <v>83438532.692468002</v>
      </c>
      <c r="D7" s="2">
        <v>19241403.958254345</v>
      </c>
      <c r="E7" t="s">
        <v>6</v>
      </c>
      <c r="F7" t="s">
        <v>5</v>
      </c>
    </row>
    <row r="8" spans="1:6" ht="16.5" x14ac:dyDescent="0.3">
      <c r="A8" s="3">
        <v>7</v>
      </c>
      <c r="E8" t="s">
        <v>6</v>
      </c>
      <c r="F8" t="s">
        <v>5</v>
      </c>
    </row>
    <row r="9" spans="1:6" ht="16.5" x14ac:dyDescent="0.3">
      <c r="A9" s="3">
        <v>8</v>
      </c>
      <c r="E9" t="s">
        <v>6</v>
      </c>
      <c r="F9" t="s">
        <v>5</v>
      </c>
    </row>
    <row r="10" spans="1:6" ht="16.5" x14ac:dyDescent="0.3">
      <c r="A10" s="3">
        <v>9</v>
      </c>
      <c r="E10" t="s">
        <v>6</v>
      </c>
      <c r="F10" t="s">
        <v>5</v>
      </c>
    </row>
    <row r="11" spans="1:6" ht="16.5" x14ac:dyDescent="0.3">
      <c r="A11" s="3">
        <v>10</v>
      </c>
      <c r="E11" t="s">
        <v>6</v>
      </c>
      <c r="F11" t="s">
        <v>5</v>
      </c>
    </row>
    <row r="12" spans="1:6" ht="16.5" x14ac:dyDescent="0.3">
      <c r="A12" s="3">
        <v>11</v>
      </c>
      <c r="E12" t="s">
        <v>6</v>
      </c>
      <c r="F12" t="s">
        <v>5</v>
      </c>
    </row>
    <row r="13" spans="1:6" ht="16.5" x14ac:dyDescent="0.3">
      <c r="A13" s="3">
        <v>12</v>
      </c>
      <c r="E13" t="s">
        <v>6</v>
      </c>
      <c r="F13" t="s">
        <v>5</v>
      </c>
    </row>
    <row r="14" spans="1:6" ht="16.5" x14ac:dyDescent="0.3">
      <c r="A14" s="3">
        <v>1</v>
      </c>
      <c r="B14" s="2">
        <v>3774965.6354481201</v>
      </c>
      <c r="C14" s="2">
        <f>B14*0.75</f>
        <v>2831224.2265860899</v>
      </c>
      <c r="E14" t="s">
        <v>8</v>
      </c>
      <c r="F14" t="s">
        <v>7</v>
      </c>
    </row>
    <row r="15" spans="1:6" ht="16.5" x14ac:dyDescent="0.3">
      <c r="A15" s="3">
        <v>2</v>
      </c>
      <c r="B15" s="2">
        <v>1503304.33163369</v>
      </c>
      <c r="C15" s="2">
        <f t="shared" ref="C15:C25" si="1">B15*0.75</f>
        <v>1127478.2487252676</v>
      </c>
      <c r="E15" t="s">
        <v>8</v>
      </c>
      <c r="F15" t="s">
        <v>7</v>
      </c>
    </row>
    <row r="16" spans="1:6" ht="16.5" x14ac:dyDescent="0.3">
      <c r="A16" s="3">
        <v>3</v>
      </c>
      <c r="B16" s="2">
        <v>1573102.4788889501</v>
      </c>
      <c r="C16" s="2">
        <f t="shared" si="1"/>
        <v>1179826.8591667125</v>
      </c>
      <c r="E16" t="s">
        <v>8</v>
      </c>
      <c r="F16" t="s">
        <v>7</v>
      </c>
    </row>
    <row r="17" spans="1:6" ht="16.5" x14ac:dyDescent="0.3">
      <c r="A17" s="3">
        <v>4</v>
      </c>
      <c r="B17" s="2">
        <v>2388627.55402923</v>
      </c>
      <c r="C17" s="2">
        <f t="shared" si="1"/>
        <v>1791470.6655219225</v>
      </c>
      <c r="E17" t="s">
        <v>8</v>
      </c>
      <c r="F17" t="s">
        <v>7</v>
      </c>
    </row>
    <row r="18" spans="1:6" ht="16.5" x14ac:dyDescent="0.3">
      <c r="A18" s="3">
        <v>5</v>
      </c>
      <c r="B18" s="2">
        <v>4800000</v>
      </c>
      <c r="C18" s="2">
        <f t="shared" si="1"/>
        <v>3600000</v>
      </c>
      <c r="E18" t="s">
        <v>8</v>
      </c>
      <c r="F18" t="s">
        <v>7</v>
      </c>
    </row>
    <row r="19" spans="1:6" ht="16.5" x14ac:dyDescent="0.3">
      <c r="A19" s="3">
        <v>6</v>
      </c>
      <c r="B19" s="2">
        <v>7200000</v>
      </c>
      <c r="C19" s="2">
        <f t="shared" si="1"/>
        <v>5400000</v>
      </c>
      <c r="E19" t="s">
        <v>8</v>
      </c>
      <c r="F19" t="s">
        <v>7</v>
      </c>
    </row>
    <row r="20" spans="1:6" ht="16.5" x14ac:dyDescent="0.3">
      <c r="A20" s="3">
        <v>7</v>
      </c>
      <c r="B20" s="2">
        <v>12070666.6666667</v>
      </c>
      <c r="C20" s="2">
        <f t="shared" si="1"/>
        <v>9053000.0000000242</v>
      </c>
      <c r="E20" t="s">
        <v>8</v>
      </c>
      <c r="F20" t="s">
        <v>7</v>
      </c>
    </row>
    <row r="21" spans="1:6" ht="16.5" x14ac:dyDescent="0.3">
      <c r="A21" s="3">
        <v>8</v>
      </c>
      <c r="B21" s="2">
        <v>12070666.6666667</v>
      </c>
      <c r="C21" s="2">
        <f t="shared" si="1"/>
        <v>9053000.0000000242</v>
      </c>
      <c r="E21" t="s">
        <v>8</v>
      </c>
      <c r="F21" t="s">
        <v>7</v>
      </c>
    </row>
    <row r="22" spans="1:6" ht="16.5" x14ac:dyDescent="0.3">
      <c r="A22" s="3">
        <v>9</v>
      </c>
      <c r="B22" s="2">
        <v>16460000</v>
      </c>
      <c r="C22" s="2">
        <f t="shared" si="1"/>
        <v>12345000</v>
      </c>
      <c r="E22" t="s">
        <v>8</v>
      </c>
      <c r="F22" t="s">
        <v>7</v>
      </c>
    </row>
    <row r="23" spans="1:6" ht="16.5" x14ac:dyDescent="0.3">
      <c r="A23" s="3">
        <v>10</v>
      </c>
      <c r="B23" s="2">
        <v>16460000</v>
      </c>
      <c r="C23" s="2">
        <f t="shared" si="1"/>
        <v>12345000</v>
      </c>
      <c r="E23" t="s">
        <v>8</v>
      </c>
      <c r="F23" t="s">
        <v>7</v>
      </c>
    </row>
    <row r="24" spans="1:6" ht="16.5" x14ac:dyDescent="0.3">
      <c r="A24" s="3">
        <v>11</v>
      </c>
      <c r="B24" s="2">
        <v>20849333.333333299</v>
      </c>
      <c r="C24" s="2">
        <f t="shared" si="1"/>
        <v>15636999.999999974</v>
      </c>
      <c r="E24" t="s">
        <v>8</v>
      </c>
      <c r="F24" t="s">
        <v>7</v>
      </c>
    </row>
    <row r="25" spans="1:6" ht="16.5" x14ac:dyDescent="0.3">
      <c r="A25" s="3">
        <v>12</v>
      </c>
      <c r="B25" s="2">
        <v>20849333.333333299</v>
      </c>
      <c r="C25" s="2">
        <f t="shared" si="1"/>
        <v>15636999.999999974</v>
      </c>
      <c r="E25" t="s">
        <v>8</v>
      </c>
      <c r="F25" t="s">
        <v>7</v>
      </c>
    </row>
    <row r="26" spans="1:6" ht="16.5" x14ac:dyDescent="0.3">
      <c r="A26" s="3">
        <v>1</v>
      </c>
      <c r="B26" s="2">
        <v>35750000</v>
      </c>
      <c r="E26" t="s">
        <v>9</v>
      </c>
      <c r="F26" t="s">
        <v>7</v>
      </c>
    </row>
    <row r="27" spans="1:6" ht="16.5" x14ac:dyDescent="0.3">
      <c r="A27" s="3">
        <v>2</v>
      </c>
      <c r="B27" s="2">
        <v>22750000</v>
      </c>
      <c r="E27" t="s">
        <v>9</v>
      </c>
      <c r="F27" t="s">
        <v>7</v>
      </c>
    </row>
    <row r="28" spans="1:6" ht="16.5" x14ac:dyDescent="0.3">
      <c r="A28" s="3">
        <v>3</v>
      </c>
      <c r="B28" s="2">
        <v>32500000</v>
      </c>
      <c r="E28" t="s">
        <v>9</v>
      </c>
      <c r="F28" t="s">
        <v>7</v>
      </c>
    </row>
    <row r="29" spans="1:6" ht="16.5" x14ac:dyDescent="0.3">
      <c r="A29" s="3">
        <v>4</v>
      </c>
      <c r="B29" s="2">
        <v>52000000</v>
      </c>
      <c r="E29" t="s">
        <v>9</v>
      </c>
      <c r="F29" t="s">
        <v>7</v>
      </c>
    </row>
    <row r="30" spans="1:6" ht="16.5" x14ac:dyDescent="0.3">
      <c r="A30" s="3">
        <v>5</v>
      </c>
      <c r="B30" s="2">
        <v>55250000</v>
      </c>
      <c r="E30" t="s">
        <v>9</v>
      </c>
      <c r="F30" t="s">
        <v>7</v>
      </c>
    </row>
    <row r="31" spans="1:6" ht="16.5" x14ac:dyDescent="0.3">
      <c r="A31" s="3">
        <v>6</v>
      </c>
      <c r="B31" s="2">
        <v>61750000</v>
      </c>
      <c r="E31" t="s">
        <v>9</v>
      </c>
      <c r="F31" t="s">
        <v>7</v>
      </c>
    </row>
    <row r="32" spans="1:6" ht="16.5" x14ac:dyDescent="0.3">
      <c r="A32" s="3">
        <v>7</v>
      </c>
      <c r="B32" s="2">
        <v>58500000</v>
      </c>
      <c r="E32" t="s">
        <v>9</v>
      </c>
      <c r="F32" t="s">
        <v>7</v>
      </c>
    </row>
    <row r="33" spans="1:6" ht="16.5" x14ac:dyDescent="0.3">
      <c r="A33" s="3">
        <v>8</v>
      </c>
      <c r="B33" s="2">
        <v>61750000</v>
      </c>
      <c r="E33" t="s">
        <v>9</v>
      </c>
      <c r="F33" t="s">
        <v>7</v>
      </c>
    </row>
    <row r="34" spans="1:6" ht="16.5" x14ac:dyDescent="0.3">
      <c r="A34" s="3">
        <v>9</v>
      </c>
      <c r="B34" s="2">
        <v>61750000</v>
      </c>
      <c r="E34" t="s">
        <v>9</v>
      </c>
      <c r="F34" t="s">
        <v>7</v>
      </c>
    </row>
    <row r="35" spans="1:6" ht="16.5" x14ac:dyDescent="0.3">
      <c r="A35" s="3">
        <v>10</v>
      </c>
      <c r="B35" s="2">
        <v>55250000</v>
      </c>
      <c r="E35" t="s">
        <v>9</v>
      </c>
      <c r="F35" t="s">
        <v>7</v>
      </c>
    </row>
    <row r="36" spans="1:6" ht="16.5" x14ac:dyDescent="0.3">
      <c r="A36" s="3">
        <v>11</v>
      </c>
      <c r="B36" s="2">
        <v>84500000</v>
      </c>
      <c r="E36" t="s">
        <v>9</v>
      </c>
      <c r="F36" t="s">
        <v>7</v>
      </c>
    </row>
    <row r="37" spans="1:6" ht="16.5" x14ac:dyDescent="0.3">
      <c r="A37" s="3">
        <v>12</v>
      </c>
      <c r="B37" s="2">
        <v>68250000</v>
      </c>
      <c r="E37" t="s">
        <v>9</v>
      </c>
      <c r="F37" t="s">
        <v>7</v>
      </c>
    </row>
    <row r="38" spans="1:6" ht="16.5" x14ac:dyDescent="0.3">
      <c r="A38" s="1">
        <v>1</v>
      </c>
      <c r="B38" s="2">
        <f>C38/0.8</f>
        <v>123826807.938639</v>
      </c>
      <c r="C38" s="2">
        <v>99061446.3509112</v>
      </c>
      <c r="D38" s="2">
        <v>23226680.765000001</v>
      </c>
      <c r="E38" t="s">
        <v>6</v>
      </c>
      <c r="F38" t="s">
        <v>7</v>
      </c>
    </row>
    <row r="39" spans="1:6" ht="16.5" x14ac:dyDescent="0.3">
      <c r="A39" s="1">
        <v>2</v>
      </c>
      <c r="B39" s="2">
        <f t="shared" ref="B39:B49" si="2">C39/0.8</f>
        <v>89664469.59849</v>
      </c>
      <c r="C39" s="2">
        <v>71731575.678792</v>
      </c>
      <c r="D39" s="2">
        <v>16184643.320878301</v>
      </c>
      <c r="E39" t="s">
        <v>6</v>
      </c>
      <c r="F39" t="s">
        <v>7</v>
      </c>
    </row>
    <row r="40" spans="1:6" ht="16.5" x14ac:dyDescent="0.3">
      <c r="A40" s="1">
        <v>3</v>
      </c>
      <c r="B40" s="2">
        <f t="shared" si="2"/>
        <v>99025525.485765502</v>
      </c>
      <c r="C40" s="2">
        <v>79220420.388612404</v>
      </c>
      <c r="D40" s="2">
        <v>18883027.534689799</v>
      </c>
      <c r="E40" t="s">
        <v>6</v>
      </c>
      <c r="F40" t="s">
        <v>7</v>
      </c>
    </row>
    <row r="41" spans="1:6" ht="16.5" x14ac:dyDescent="0.3">
      <c r="A41" s="1">
        <v>4</v>
      </c>
      <c r="B41" s="2">
        <f t="shared" si="2"/>
        <v>102439884.394888</v>
      </c>
      <c r="C41" s="2">
        <v>81951907.515910402</v>
      </c>
      <c r="D41" s="2">
        <v>18605315.7223964</v>
      </c>
      <c r="E41" t="s">
        <v>6</v>
      </c>
      <c r="F41" t="s">
        <v>7</v>
      </c>
    </row>
    <row r="42" spans="1:6" ht="16.5" x14ac:dyDescent="0.3">
      <c r="A42" s="1">
        <v>5</v>
      </c>
      <c r="B42" s="2">
        <f t="shared" si="2"/>
        <v>98559754.617431253</v>
      </c>
      <c r="C42" s="2">
        <v>78847803.693945006</v>
      </c>
      <c r="D42" s="2">
        <v>17245454.181935702</v>
      </c>
      <c r="E42" t="s">
        <v>6</v>
      </c>
      <c r="F42" t="s">
        <v>7</v>
      </c>
    </row>
    <row r="43" spans="1:6" ht="16.5" x14ac:dyDescent="0.3">
      <c r="A43" s="1">
        <v>6</v>
      </c>
      <c r="B43" s="2">
        <f t="shared" si="2"/>
        <v>94900445.102448255</v>
      </c>
      <c r="C43" s="2">
        <v>75920356.081958607</v>
      </c>
      <c r="D43" s="2">
        <v>17507669.333204199</v>
      </c>
      <c r="E43" t="s">
        <v>6</v>
      </c>
      <c r="F43" t="s">
        <v>7</v>
      </c>
    </row>
    <row r="44" spans="1:6" ht="16.5" x14ac:dyDescent="0.3">
      <c r="A44" s="1">
        <v>7</v>
      </c>
      <c r="B44" s="2">
        <f t="shared" si="2"/>
        <v>96261747.539185509</v>
      </c>
      <c r="C44" s="2">
        <v>77009398.031348407</v>
      </c>
      <c r="D44" s="2">
        <v>17209968.630219501</v>
      </c>
      <c r="E44" t="s">
        <v>6</v>
      </c>
      <c r="F44" t="s">
        <v>7</v>
      </c>
    </row>
    <row r="45" spans="1:6" ht="16.5" x14ac:dyDescent="0.3">
      <c r="A45" s="1">
        <v>8</v>
      </c>
      <c r="B45" s="2">
        <f t="shared" si="2"/>
        <v>91662993.462178126</v>
      </c>
      <c r="C45" s="2">
        <v>73330394.769742504</v>
      </c>
      <c r="D45" s="2">
        <v>16413118.0119943</v>
      </c>
      <c r="E45" t="s">
        <v>6</v>
      </c>
      <c r="F45" t="s">
        <v>7</v>
      </c>
    </row>
    <row r="46" spans="1:6" ht="16.5" x14ac:dyDescent="0.3">
      <c r="A46" s="1">
        <v>9</v>
      </c>
      <c r="B46" s="2">
        <f t="shared" si="2"/>
        <v>93672614.38683562</v>
      </c>
      <c r="C46" s="2">
        <v>74938091.509468496</v>
      </c>
      <c r="D46" s="2">
        <v>16708599.314886799</v>
      </c>
      <c r="E46" t="s">
        <v>6</v>
      </c>
      <c r="F46" t="s">
        <v>7</v>
      </c>
    </row>
    <row r="47" spans="1:6" ht="16.5" x14ac:dyDescent="0.3">
      <c r="A47" s="1">
        <v>10</v>
      </c>
      <c r="B47" s="2">
        <f t="shared" si="2"/>
        <v>96611088.915106878</v>
      </c>
      <c r="C47" s="2">
        <v>77288871.132085502</v>
      </c>
      <c r="D47" s="2">
        <v>16115525.731889101</v>
      </c>
      <c r="E47" t="s">
        <v>6</v>
      </c>
      <c r="F47" t="s">
        <v>7</v>
      </c>
    </row>
    <row r="48" spans="1:6" ht="16.5" x14ac:dyDescent="0.3">
      <c r="A48" s="1">
        <v>11</v>
      </c>
      <c r="B48" s="2">
        <f t="shared" si="2"/>
        <v>103901259.0674575</v>
      </c>
      <c r="C48" s="2">
        <v>83121007.253966004</v>
      </c>
      <c r="D48" s="2">
        <v>19654694.353094399</v>
      </c>
      <c r="E48" t="s">
        <v>6</v>
      </c>
      <c r="F48" t="s">
        <v>7</v>
      </c>
    </row>
    <row r="49" spans="1:6" ht="16.5" x14ac:dyDescent="0.3">
      <c r="A49" s="1">
        <v>12</v>
      </c>
      <c r="B49" s="2">
        <f t="shared" si="2"/>
        <v>99219411.507892355</v>
      </c>
      <c r="C49" s="2">
        <v>79375529.206313893</v>
      </c>
      <c r="D49" s="2">
        <v>19852333.722794399</v>
      </c>
      <c r="E49" t="s">
        <v>6</v>
      </c>
      <c r="F49" t="s">
        <v>7</v>
      </c>
    </row>
    <row r="50" spans="1:6" ht="16.5" x14ac:dyDescent="0.3">
      <c r="A50" s="1">
        <v>1</v>
      </c>
      <c r="B50" s="2"/>
      <c r="C50" s="2"/>
      <c r="D50" s="2">
        <v>20904012.688500002</v>
      </c>
      <c r="E50" t="s">
        <v>21</v>
      </c>
      <c r="F50" t="s">
        <v>5</v>
      </c>
    </row>
    <row r="51" spans="1:6" ht="16.5" x14ac:dyDescent="0.3">
      <c r="A51" s="1">
        <v>2</v>
      </c>
      <c r="B51" s="2"/>
      <c r="C51" s="2"/>
      <c r="D51" s="2">
        <v>14566178.988790508</v>
      </c>
      <c r="E51" t="s">
        <v>21</v>
      </c>
      <c r="F51" t="s">
        <v>5</v>
      </c>
    </row>
    <row r="52" spans="1:6" ht="16.5" x14ac:dyDescent="0.3">
      <c r="A52" s="1">
        <v>3</v>
      </c>
      <c r="B52" s="2"/>
      <c r="C52" s="2"/>
      <c r="D52" s="2">
        <v>17238964.780794643</v>
      </c>
      <c r="E52" t="s">
        <v>21</v>
      </c>
      <c r="F52" t="s">
        <v>5</v>
      </c>
    </row>
    <row r="53" spans="1:6" ht="16.5" x14ac:dyDescent="0.3">
      <c r="A53" s="1">
        <v>4</v>
      </c>
      <c r="B53" s="2"/>
      <c r="C53" s="2"/>
      <c r="D53" s="2">
        <v>17279478.440470707</v>
      </c>
      <c r="E53" t="s">
        <v>21</v>
      </c>
      <c r="F53" t="s">
        <v>5</v>
      </c>
    </row>
    <row r="54" spans="1:6" ht="16.5" x14ac:dyDescent="0.3">
      <c r="A54" s="1">
        <v>5</v>
      </c>
      <c r="B54" s="2"/>
      <c r="C54" s="2"/>
      <c r="D54" s="2">
        <v>16474469.912354732</v>
      </c>
      <c r="E54" t="s">
        <v>21</v>
      </c>
      <c r="F54" t="s">
        <v>5</v>
      </c>
    </row>
    <row r="55" spans="1:6" ht="16.5" x14ac:dyDescent="0.3">
      <c r="A55" s="1">
        <v>6</v>
      </c>
      <c r="B55" s="2"/>
      <c r="C55" s="2"/>
      <c r="D55" s="2">
        <v>17271438.453449219</v>
      </c>
      <c r="E55" t="s">
        <v>21</v>
      </c>
      <c r="F55" t="s">
        <v>5</v>
      </c>
    </row>
    <row r="56" spans="1:6" ht="16.5" x14ac:dyDescent="0.3">
      <c r="A56" s="1">
        <v>7</v>
      </c>
      <c r="B56" s="2"/>
      <c r="C56" s="2"/>
      <c r="D56" s="2"/>
      <c r="E56" t="s">
        <v>21</v>
      </c>
      <c r="F56" t="s">
        <v>5</v>
      </c>
    </row>
    <row r="57" spans="1:6" ht="16.5" x14ac:dyDescent="0.3">
      <c r="A57" s="1">
        <v>8</v>
      </c>
      <c r="B57" s="2"/>
      <c r="C57" s="2"/>
      <c r="D57" s="2"/>
      <c r="E57" t="s">
        <v>21</v>
      </c>
      <c r="F57" t="s">
        <v>5</v>
      </c>
    </row>
    <row r="58" spans="1:6" ht="16.5" x14ac:dyDescent="0.3">
      <c r="A58" s="1">
        <v>9</v>
      </c>
      <c r="B58" s="2"/>
      <c r="C58" s="2"/>
      <c r="D58" s="2"/>
      <c r="E58" t="s">
        <v>21</v>
      </c>
      <c r="F58" t="s">
        <v>5</v>
      </c>
    </row>
    <row r="59" spans="1:6" ht="16.5" x14ac:dyDescent="0.3">
      <c r="A59" s="1">
        <v>10</v>
      </c>
      <c r="B59" s="2"/>
      <c r="C59" s="2"/>
      <c r="D59" s="2"/>
      <c r="E59" t="s">
        <v>21</v>
      </c>
      <c r="F59" t="s">
        <v>5</v>
      </c>
    </row>
    <row r="60" spans="1:6" ht="16.5" x14ac:dyDescent="0.3">
      <c r="A60" s="1">
        <v>11</v>
      </c>
      <c r="B60" s="2"/>
      <c r="C60" s="2"/>
      <c r="D60" s="2"/>
      <c r="E60" t="s">
        <v>21</v>
      </c>
      <c r="F60" t="s">
        <v>5</v>
      </c>
    </row>
    <row r="61" spans="1:6" ht="16.5" x14ac:dyDescent="0.3">
      <c r="A61" s="1">
        <v>12</v>
      </c>
      <c r="B61" s="2"/>
      <c r="C61" s="2"/>
      <c r="D61" s="2"/>
      <c r="E61" t="s">
        <v>21</v>
      </c>
      <c r="F61" t="s">
        <v>5</v>
      </c>
    </row>
    <row r="62" spans="1:6" ht="16.5" x14ac:dyDescent="0.3">
      <c r="A62" s="1">
        <v>1</v>
      </c>
      <c r="B62" s="2"/>
      <c r="C62" s="2"/>
      <c r="D62" s="2">
        <v>2322668.0765</v>
      </c>
      <c r="E62" t="s">
        <v>22</v>
      </c>
      <c r="F62" t="s">
        <v>5</v>
      </c>
    </row>
    <row r="63" spans="1:6" ht="16.5" x14ac:dyDescent="0.3">
      <c r="A63" s="1">
        <v>2</v>
      </c>
      <c r="B63" s="2"/>
      <c r="C63" s="2"/>
      <c r="D63" s="2">
        <v>1618464.3320878344</v>
      </c>
      <c r="E63" t="s">
        <v>22</v>
      </c>
      <c r="F63" t="s">
        <v>5</v>
      </c>
    </row>
    <row r="64" spans="1:6" ht="16.5" x14ac:dyDescent="0.3">
      <c r="A64" s="1">
        <v>3</v>
      </c>
      <c r="B64" s="2"/>
      <c r="C64" s="2"/>
      <c r="D64" s="2">
        <v>1957856.4028891488</v>
      </c>
      <c r="E64" t="s">
        <v>22</v>
      </c>
      <c r="F64" t="s">
        <v>5</v>
      </c>
    </row>
    <row r="65" spans="1:6" ht="16.5" x14ac:dyDescent="0.3">
      <c r="A65" s="1">
        <v>4</v>
      </c>
      <c r="B65" s="2"/>
      <c r="C65" s="2"/>
      <c r="D65" s="2">
        <v>2008471.523161548</v>
      </c>
      <c r="E65" t="s">
        <v>22</v>
      </c>
      <c r="F65" t="s">
        <v>5</v>
      </c>
    </row>
    <row r="66" spans="1:6" ht="16.5" x14ac:dyDescent="0.3">
      <c r="A66" s="1">
        <v>5</v>
      </c>
      <c r="B66" s="2"/>
      <c r="C66" s="2"/>
      <c r="D66" s="2">
        <v>1904263.7070556078</v>
      </c>
      <c r="E66" t="s">
        <v>22</v>
      </c>
      <c r="F66" t="s">
        <v>5</v>
      </c>
    </row>
    <row r="67" spans="1:6" ht="16.5" x14ac:dyDescent="0.3">
      <c r="A67" s="1">
        <v>6</v>
      </c>
      <c r="B67" s="2"/>
      <c r="C67" s="2"/>
      <c r="D67" s="2">
        <v>2061668.9978069996</v>
      </c>
      <c r="E67" t="s">
        <v>22</v>
      </c>
      <c r="F67" t="s">
        <v>5</v>
      </c>
    </row>
    <row r="68" spans="1:6" ht="16.5" x14ac:dyDescent="0.3">
      <c r="A68" s="1">
        <v>7</v>
      </c>
      <c r="B68" s="2"/>
      <c r="C68" s="2"/>
      <c r="D68" s="2"/>
      <c r="E68" t="s">
        <v>22</v>
      </c>
      <c r="F68" t="s">
        <v>5</v>
      </c>
    </row>
    <row r="69" spans="1:6" ht="16.5" x14ac:dyDescent="0.3">
      <c r="A69" s="1">
        <v>8</v>
      </c>
      <c r="B69" s="2"/>
      <c r="C69" s="2"/>
      <c r="D69" s="2"/>
      <c r="E69" t="s">
        <v>22</v>
      </c>
      <c r="F69" t="s">
        <v>5</v>
      </c>
    </row>
    <row r="70" spans="1:6" ht="16.5" x14ac:dyDescent="0.3">
      <c r="A70" s="1">
        <v>9</v>
      </c>
      <c r="B70" s="2"/>
      <c r="C70" s="2"/>
      <c r="D70" s="2"/>
      <c r="E70" t="s">
        <v>22</v>
      </c>
      <c r="F70" t="s">
        <v>5</v>
      </c>
    </row>
    <row r="71" spans="1:6" ht="16.5" x14ac:dyDescent="0.3">
      <c r="A71" s="1">
        <v>10</v>
      </c>
      <c r="B71" s="2"/>
      <c r="C71" s="2"/>
      <c r="D71" s="2"/>
      <c r="E71" t="s">
        <v>22</v>
      </c>
      <c r="F71" t="s">
        <v>5</v>
      </c>
    </row>
    <row r="72" spans="1:6" ht="16.5" x14ac:dyDescent="0.3">
      <c r="A72" s="1">
        <v>11</v>
      </c>
      <c r="B72" s="2"/>
      <c r="C72" s="2"/>
      <c r="D72" s="2"/>
      <c r="E72" t="s">
        <v>22</v>
      </c>
      <c r="F72" t="s">
        <v>5</v>
      </c>
    </row>
    <row r="73" spans="1:6" ht="16.5" x14ac:dyDescent="0.3">
      <c r="A73" s="1">
        <v>12</v>
      </c>
      <c r="B73" s="2"/>
      <c r="C73" s="2"/>
      <c r="D73" s="2"/>
      <c r="E73" t="s">
        <v>22</v>
      </c>
      <c r="F73" t="s">
        <v>5</v>
      </c>
    </row>
    <row r="74" spans="1:6" ht="16.5" x14ac:dyDescent="0.3">
      <c r="A74" s="1">
        <v>1</v>
      </c>
      <c r="B74" s="2"/>
      <c r="C74" s="2"/>
      <c r="D74" s="2">
        <v>2850000</v>
      </c>
      <c r="E74" t="s">
        <v>23</v>
      </c>
      <c r="F74" t="s">
        <v>5</v>
      </c>
    </row>
    <row r="75" spans="1:6" ht="16.5" x14ac:dyDescent="0.3">
      <c r="A75" s="1">
        <v>2</v>
      </c>
      <c r="B75" s="2"/>
      <c r="C75" s="2"/>
      <c r="D75" s="2">
        <v>1600000</v>
      </c>
      <c r="E75" t="s">
        <v>23</v>
      </c>
      <c r="F75" t="s">
        <v>5</v>
      </c>
    </row>
    <row r="76" spans="1:6" ht="16.5" x14ac:dyDescent="0.3">
      <c r="A76" s="1">
        <v>3</v>
      </c>
      <c r="B76" s="2"/>
      <c r="C76" s="2"/>
      <c r="D76" s="2">
        <v>2200000</v>
      </c>
      <c r="E76" t="s">
        <v>23</v>
      </c>
      <c r="F76" t="s">
        <v>5</v>
      </c>
    </row>
    <row r="77" spans="1:6" ht="16.5" x14ac:dyDescent="0.3">
      <c r="A77" s="1">
        <v>4</v>
      </c>
      <c r="B77" s="2"/>
      <c r="C77" s="2"/>
      <c r="D77" s="2">
        <v>2800000</v>
      </c>
      <c r="E77" t="s">
        <v>23</v>
      </c>
      <c r="F77" t="s">
        <v>5</v>
      </c>
    </row>
    <row r="78" spans="1:6" ht="16.5" x14ac:dyDescent="0.3">
      <c r="A78" s="1">
        <v>5</v>
      </c>
      <c r="B78" s="2"/>
      <c r="C78" s="2"/>
      <c r="D78" s="2">
        <v>1900000</v>
      </c>
      <c r="E78" t="s">
        <v>23</v>
      </c>
      <c r="F78" t="s">
        <v>5</v>
      </c>
    </row>
    <row r="79" spans="1:6" ht="16.5" x14ac:dyDescent="0.3">
      <c r="A79" s="1">
        <v>6</v>
      </c>
      <c r="B79" s="2"/>
      <c r="C79" s="2"/>
      <c r="D79" s="2">
        <v>2250000</v>
      </c>
      <c r="E79" t="s">
        <v>23</v>
      </c>
      <c r="F79" t="s">
        <v>5</v>
      </c>
    </row>
    <row r="80" spans="1:6" ht="16.5" x14ac:dyDescent="0.3">
      <c r="A80" s="1">
        <v>7</v>
      </c>
      <c r="B80" s="2"/>
      <c r="C80" s="2"/>
      <c r="D80" s="2"/>
      <c r="E80" t="s">
        <v>23</v>
      </c>
      <c r="F80" t="s">
        <v>5</v>
      </c>
    </row>
    <row r="81" spans="1:6" ht="16.5" x14ac:dyDescent="0.3">
      <c r="A81" s="1">
        <v>8</v>
      </c>
      <c r="B81" s="2"/>
      <c r="C81" s="2"/>
      <c r="D81" s="2"/>
      <c r="E81" t="s">
        <v>23</v>
      </c>
      <c r="F81" t="s">
        <v>5</v>
      </c>
    </row>
    <row r="82" spans="1:6" ht="16.5" x14ac:dyDescent="0.3">
      <c r="A82" s="1">
        <v>9</v>
      </c>
      <c r="B82" s="2"/>
      <c r="C82" s="2"/>
      <c r="D82" s="2"/>
      <c r="E82" t="s">
        <v>23</v>
      </c>
      <c r="F82" t="s">
        <v>5</v>
      </c>
    </row>
    <row r="83" spans="1:6" ht="16.5" x14ac:dyDescent="0.3">
      <c r="A83" s="1">
        <v>10</v>
      </c>
      <c r="B83" s="2"/>
      <c r="C83" s="2"/>
      <c r="D83" s="2"/>
      <c r="E83" t="s">
        <v>23</v>
      </c>
      <c r="F83" t="s">
        <v>5</v>
      </c>
    </row>
    <row r="84" spans="1:6" ht="16.5" x14ac:dyDescent="0.3">
      <c r="A84" s="1">
        <v>11</v>
      </c>
      <c r="B84" s="2"/>
      <c r="C84" s="2"/>
      <c r="D84" s="2"/>
      <c r="E84" t="s">
        <v>23</v>
      </c>
      <c r="F84" t="s">
        <v>5</v>
      </c>
    </row>
    <row r="85" spans="1:6" ht="16.5" x14ac:dyDescent="0.3">
      <c r="A85" s="1">
        <v>12</v>
      </c>
      <c r="B85" s="2"/>
      <c r="C85" s="2"/>
      <c r="D85" s="2"/>
      <c r="E85" t="s">
        <v>23</v>
      </c>
      <c r="F85" t="s">
        <v>5</v>
      </c>
    </row>
    <row r="86" spans="1:6" ht="16.5" x14ac:dyDescent="0.3">
      <c r="A86" s="1">
        <v>1</v>
      </c>
      <c r="B86" s="2"/>
      <c r="C86" s="2"/>
      <c r="D86" s="2">
        <v>775000</v>
      </c>
      <c r="E86" t="s">
        <v>25</v>
      </c>
      <c r="F86" t="s">
        <v>5</v>
      </c>
    </row>
    <row r="87" spans="1:6" ht="16.5" x14ac:dyDescent="0.3">
      <c r="A87" s="1">
        <v>2</v>
      </c>
      <c r="B87" s="2"/>
      <c r="C87" s="2"/>
      <c r="D87" s="2">
        <v>633423.96687834384</v>
      </c>
      <c r="E87" t="s">
        <v>25</v>
      </c>
      <c r="F87" t="s">
        <v>5</v>
      </c>
    </row>
    <row r="88" spans="1:6" ht="16.5" x14ac:dyDescent="0.3">
      <c r="A88" s="1">
        <v>3</v>
      </c>
      <c r="B88" s="2"/>
      <c r="C88" s="2"/>
      <c r="D88" s="2">
        <v>823712.13472223061</v>
      </c>
      <c r="E88" t="s">
        <v>25</v>
      </c>
      <c r="F88" t="s">
        <v>5</v>
      </c>
    </row>
    <row r="89" spans="1:6" ht="16.5" x14ac:dyDescent="0.3">
      <c r="A89" s="1">
        <v>4</v>
      </c>
      <c r="B89" s="2"/>
      <c r="C89" s="2"/>
      <c r="D89" s="2">
        <v>919563.93393090763</v>
      </c>
      <c r="E89" t="s">
        <v>25</v>
      </c>
      <c r="F89" t="s">
        <v>5</v>
      </c>
    </row>
    <row r="90" spans="1:6" ht="16.5" x14ac:dyDescent="0.3">
      <c r="A90" s="1">
        <v>5</v>
      </c>
      <c r="B90" s="2"/>
      <c r="C90" s="2"/>
      <c r="D90" s="2">
        <v>923462.33459276904</v>
      </c>
      <c r="E90" t="s">
        <v>25</v>
      </c>
      <c r="F90" t="s">
        <v>5</v>
      </c>
    </row>
    <row r="91" spans="1:6" ht="16.5" x14ac:dyDescent="0.3">
      <c r="A91" s="1">
        <v>6</v>
      </c>
      <c r="B91" s="2"/>
      <c r="C91" s="2"/>
      <c r="D91" s="2">
        <v>1044268.3411312056</v>
      </c>
      <c r="E91" t="s">
        <v>25</v>
      </c>
      <c r="F91" t="s">
        <v>5</v>
      </c>
    </row>
    <row r="92" spans="1:6" ht="16.5" x14ac:dyDescent="0.3">
      <c r="A92" s="1">
        <v>7</v>
      </c>
      <c r="B92" s="2"/>
      <c r="C92" s="2"/>
      <c r="D92" s="2"/>
      <c r="E92" t="s">
        <v>25</v>
      </c>
      <c r="F92" t="s">
        <v>5</v>
      </c>
    </row>
    <row r="93" spans="1:6" ht="16.5" x14ac:dyDescent="0.3">
      <c r="A93" s="1">
        <v>8</v>
      </c>
      <c r="B93" s="2"/>
      <c r="C93" s="2"/>
      <c r="D93" s="2"/>
      <c r="E93" t="s">
        <v>25</v>
      </c>
      <c r="F93" t="s">
        <v>5</v>
      </c>
    </row>
    <row r="94" spans="1:6" ht="16.5" x14ac:dyDescent="0.3">
      <c r="A94" s="1">
        <v>9</v>
      </c>
      <c r="B94" s="2"/>
      <c r="C94" s="2"/>
      <c r="D94" s="2"/>
      <c r="E94" t="s">
        <v>25</v>
      </c>
      <c r="F94" t="s">
        <v>5</v>
      </c>
    </row>
    <row r="95" spans="1:6" ht="16.5" x14ac:dyDescent="0.3">
      <c r="A95" s="1">
        <v>10</v>
      </c>
      <c r="B95" s="2"/>
      <c r="C95" s="2"/>
      <c r="D95" s="2"/>
      <c r="E95" t="s">
        <v>25</v>
      </c>
      <c r="F95" t="s">
        <v>5</v>
      </c>
    </row>
    <row r="96" spans="1:6" ht="16.5" x14ac:dyDescent="0.3">
      <c r="A96" s="1">
        <v>11</v>
      </c>
      <c r="B96" s="2"/>
      <c r="C96" s="2"/>
      <c r="D96" s="2"/>
      <c r="E96" t="s">
        <v>25</v>
      </c>
      <c r="F96" t="s">
        <v>5</v>
      </c>
    </row>
    <row r="97" spans="1:6" ht="16.5" x14ac:dyDescent="0.3">
      <c r="A97" s="1">
        <v>12</v>
      </c>
      <c r="B97" s="2"/>
      <c r="C97" s="2"/>
      <c r="D97" s="2"/>
      <c r="E97" t="s">
        <v>25</v>
      </c>
      <c r="F97" t="s">
        <v>5</v>
      </c>
    </row>
    <row r="98" spans="1:6" ht="16.5" x14ac:dyDescent="0.3">
      <c r="A98" s="1">
        <v>1</v>
      </c>
      <c r="B98" s="2"/>
      <c r="C98" s="2"/>
      <c r="D98" s="2">
        <v>19601680.765000001</v>
      </c>
      <c r="E98" t="s">
        <v>26</v>
      </c>
      <c r="F98" t="s">
        <v>5</v>
      </c>
    </row>
    <row r="99" spans="1:6" ht="16.5" x14ac:dyDescent="0.3">
      <c r="A99" s="1">
        <v>2</v>
      </c>
      <c r="B99" s="2"/>
      <c r="C99" s="2"/>
      <c r="D99" s="2">
        <v>13951219.353999998</v>
      </c>
      <c r="E99" t="s">
        <v>26</v>
      </c>
      <c r="F99" t="s">
        <v>5</v>
      </c>
    </row>
    <row r="100" spans="1:6" ht="16.5" x14ac:dyDescent="0.3">
      <c r="A100" s="1">
        <v>3</v>
      </c>
      <c r="B100" s="2"/>
      <c r="C100" s="2"/>
      <c r="D100" s="2">
        <v>16169500.842707338</v>
      </c>
      <c r="E100" t="s">
        <v>26</v>
      </c>
      <c r="F100" t="s">
        <v>5</v>
      </c>
    </row>
    <row r="101" spans="1:6" ht="16.5" x14ac:dyDescent="0.3">
      <c r="A101" s="1">
        <v>4</v>
      </c>
      <c r="B101" s="2"/>
      <c r="C101" s="2"/>
      <c r="D101" s="2">
        <v>15530664.395898992</v>
      </c>
      <c r="E101" t="s">
        <v>26</v>
      </c>
      <c r="F101" t="s">
        <v>5</v>
      </c>
    </row>
    <row r="102" spans="1:6" ht="16.5" x14ac:dyDescent="0.3">
      <c r="A102" s="1">
        <v>5</v>
      </c>
      <c r="B102" s="2"/>
      <c r="C102" s="2"/>
      <c r="D102" s="2">
        <v>15563317.568555759</v>
      </c>
      <c r="E102" t="s">
        <v>26</v>
      </c>
      <c r="F102" t="s">
        <v>5</v>
      </c>
    </row>
    <row r="103" spans="1:6" ht="16.5" x14ac:dyDescent="0.3">
      <c r="A103" s="1">
        <v>6</v>
      </c>
      <c r="B103" s="2"/>
      <c r="C103" s="2"/>
      <c r="D103" s="2">
        <v>15974002.024919366</v>
      </c>
      <c r="E103" t="s">
        <v>26</v>
      </c>
      <c r="F103" t="s">
        <v>5</v>
      </c>
    </row>
    <row r="104" spans="1:6" ht="16.5" x14ac:dyDescent="0.3">
      <c r="A104" s="1">
        <v>7</v>
      </c>
      <c r="B104" s="2"/>
      <c r="C104" s="2"/>
      <c r="D104" s="2"/>
      <c r="E104" t="s">
        <v>26</v>
      </c>
      <c r="F104" t="s">
        <v>5</v>
      </c>
    </row>
    <row r="105" spans="1:6" ht="16.5" x14ac:dyDescent="0.3">
      <c r="A105" s="1">
        <v>8</v>
      </c>
      <c r="B105" s="2"/>
      <c r="C105" s="2"/>
      <c r="D105" s="2"/>
      <c r="E105" t="s">
        <v>26</v>
      </c>
      <c r="F105" t="s">
        <v>5</v>
      </c>
    </row>
    <row r="106" spans="1:6" ht="16.5" x14ac:dyDescent="0.3">
      <c r="A106" s="1">
        <v>9</v>
      </c>
      <c r="B106" s="2"/>
      <c r="C106" s="2"/>
      <c r="D106" s="2"/>
      <c r="E106" t="s">
        <v>26</v>
      </c>
      <c r="F106" t="s">
        <v>5</v>
      </c>
    </row>
    <row r="107" spans="1:6" ht="16.5" x14ac:dyDescent="0.3">
      <c r="A107" s="1">
        <v>10</v>
      </c>
      <c r="B107" s="2"/>
      <c r="C107" s="2"/>
      <c r="D107" s="2"/>
      <c r="E107" t="s">
        <v>26</v>
      </c>
      <c r="F107" t="s">
        <v>5</v>
      </c>
    </row>
    <row r="108" spans="1:6" ht="16.5" x14ac:dyDescent="0.3">
      <c r="A108" s="1">
        <v>11</v>
      </c>
      <c r="B108" s="2"/>
      <c r="C108" s="2"/>
      <c r="D108" s="2"/>
      <c r="E108" t="s">
        <v>26</v>
      </c>
      <c r="F108" t="s">
        <v>5</v>
      </c>
    </row>
    <row r="109" spans="1:6" ht="16.5" x14ac:dyDescent="0.3">
      <c r="A109" s="1">
        <v>12</v>
      </c>
      <c r="B109" s="2"/>
      <c r="C109" s="2"/>
      <c r="D109" s="2"/>
      <c r="E109" t="s">
        <v>26</v>
      </c>
      <c r="F109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月数据（每日更新）</vt:lpstr>
      <vt:lpstr>累计数据（每月更新）</vt:lpstr>
      <vt:lpstr>目标（每月更新）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don2vito</dc:creator>
  <cp:lastModifiedBy>andrew617</cp:lastModifiedBy>
  <dcterms:created xsi:type="dcterms:W3CDTF">2015-06-05T18:19:34Z</dcterms:created>
  <dcterms:modified xsi:type="dcterms:W3CDTF">2026-05-24T06:44:47Z</dcterms:modified>
</cp:coreProperties>
</file>