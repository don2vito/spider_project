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目录" sheetId="1" r:id="rId1"/>
    <sheet name="汇总表" sheetId="2" r:id="rId2"/>
    <sheet name="中西药品类" sheetId="3" r:id="rId3"/>
    <sheet name="文化办公用品类" sheetId="4" r:id="rId4"/>
    <sheet name="网上商品和服务零售额" sheetId="5" r:id="rId5"/>
    <sheet name="网上零售额" sheetId="6" r:id="rId6"/>
    <sheet name="通讯器材类" sheetId="7" r:id="rId7"/>
    <sheet name="体育、娱乐用品类" sheetId="8" r:id="rId8"/>
    <sheet name="书报杂志类" sheetId="9" r:id="rId9"/>
    <sheet name="石油及制品类" sheetId="10" r:id="rId10"/>
    <sheet name="社会消费品零售总额" sheetId="11" r:id="rId11"/>
    <sheet name="日用品类" sheetId="12" r:id="rId12"/>
    <sheet name="汽车类" sheetId="13" r:id="rId13"/>
    <sheet name="其他" sheetId="14" r:id="rId14"/>
    <sheet name="粮油、食品、饮料、烟酒类" sheetId="15" r:id="rId15"/>
    <sheet name="金银珠宝类" sheetId="16" r:id="rId16"/>
    <sheet name="建筑及装潢材料类" sheetId="17" r:id="rId17"/>
    <sheet name="家用电器和音像器材类" sheetId="18" r:id="rId18"/>
    <sheet name="家具类" sheetId="19" r:id="rId19"/>
    <sheet name="化妆品类" sheetId="20" r:id="rId20"/>
    <sheet name="服装鞋帽、针、纺织品类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6.83203125" customWidth="1"/>
    <col min="2" max="2" width="50.83203125" customWidth="1"/>
    <col min="3" max="3" width="12.83203125" customWidth="1"/>
  </cols>
  <sheetData>
    <row r="1">
      <c r="A1" t="str">
        <v>目录（点击分类名跳转到对应明细表）</v>
      </c>
    </row>
    <row r="2">
      <c r="A2" t="str">
        <v>序号</v>
      </c>
      <c r="B2" t="str">
        <v>三级分类名称</v>
      </c>
      <c r="C2" t="str">
        <v>指标数量</v>
      </c>
    </row>
    <row r="3">
      <c r="A3">
        <v>1</v>
      </c>
      <c r="B3" t="str">
        <f>HYPERLINK("#'中西药品类'!A1","中西药品类")</f>
        <v>中西药品类</v>
      </c>
      <c r="C3">
        <v>144</v>
      </c>
    </row>
    <row r="4">
      <c r="A4">
        <v>2</v>
      </c>
      <c r="B4" t="str">
        <f>HYPERLINK("#'文化办公用品类'!A1","文化办公用品类")</f>
        <v>文化办公用品类</v>
      </c>
      <c r="C4">
        <v>144</v>
      </c>
    </row>
    <row r="5">
      <c r="A5">
        <v>3</v>
      </c>
      <c r="B5" t="str">
        <f>HYPERLINK("#'网上商品和服务零售额'!A1","网上商品和服务零售额")</f>
        <v>网上商品和服务零售额</v>
      </c>
      <c r="C5">
        <v>36</v>
      </c>
    </row>
    <row r="6">
      <c r="A6">
        <v>4</v>
      </c>
      <c r="B6" t="str">
        <f>HYPERLINK("#'网上零售额'!A1","网上零售额")</f>
        <v>网上零售额</v>
      </c>
      <c r="C6">
        <v>224</v>
      </c>
    </row>
    <row r="7">
      <c r="A7">
        <v>5</v>
      </c>
      <c r="B7" t="str">
        <f>HYPERLINK("#'通讯器材类'!A1","通讯器材类")</f>
        <v>通讯器材类</v>
      </c>
      <c r="C7">
        <v>144</v>
      </c>
    </row>
    <row r="8">
      <c r="A8">
        <v>6</v>
      </c>
      <c r="B8" t="str">
        <f>HYPERLINK("#'体育、娱乐用品类'!A1","体育、娱乐用品类")</f>
        <v>体育、娱乐用品类</v>
      </c>
      <c r="C8">
        <v>144</v>
      </c>
    </row>
    <row r="9">
      <c r="A9">
        <v>7</v>
      </c>
      <c r="B9" t="str">
        <f>HYPERLINK("#'书报杂志类'!A1","书报杂志类")</f>
        <v>书报杂志类</v>
      </c>
      <c r="C9">
        <v>144</v>
      </c>
    </row>
    <row r="10">
      <c r="A10">
        <v>8</v>
      </c>
      <c r="B10" t="str">
        <f>HYPERLINK("#'石油及制品类'!A1","石油及制品类")</f>
        <v>石油及制品类</v>
      </c>
      <c r="C10">
        <v>144</v>
      </c>
    </row>
    <row r="11">
      <c r="A11">
        <v>9</v>
      </c>
      <c r="B11" t="str">
        <f>HYPERLINK("#'社会消费品零售总额'!A1","社会消费品零售总额")</f>
        <v>社会消费品零售总额</v>
      </c>
      <c r="C11">
        <v>288</v>
      </c>
    </row>
    <row r="12">
      <c r="A12">
        <v>10</v>
      </c>
      <c r="B12" t="str">
        <f>HYPERLINK("#'日用品类'!A1","日用品类")</f>
        <v>日用品类</v>
      </c>
      <c r="C12">
        <v>144</v>
      </c>
    </row>
    <row r="13">
      <c r="A13">
        <v>11</v>
      </c>
      <c r="B13" t="str">
        <f>HYPERLINK("#'汽车类'!A1","汽车类")</f>
        <v>汽车类</v>
      </c>
      <c r="C13">
        <v>144</v>
      </c>
    </row>
    <row r="14">
      <c r="A14">
        <v>12</v>
      </c>
      <c r="B14" t="str">
        <f>HYPERLINK("#'其他'!A1","其他")</f>
        <v>其他</v>
      </c>
      <c r="C14">
        <v>144</v>
      </c>
    </row>
    <row r="15">
      <c r="A15">
        <v>13</v>
      </c>
      <c r="B15" t="str">
        <f>HYPERLINK("#'粮油、食品、饮料、烟酒类'!A1","粮油、食品、饮料、烟酒类")</f>
        <v>粮油、食品、饮料、烟酒类</v>
      </c>
      <c r="C15">
        <v>576</v>
      </c>
    </row>
    <row r="16">
      <c r="A16">
        <v>14</v>
      </c>
      <c r="B16" t="str">
        <f>HYPERLINK("#'金银珠宝类'!A1","金银珠宝类")</f>
        <v>金银珠宝类</v>
      </c>
      <c r="C16">
        <v>144</v>
      </c>
    </row>
    <row r="17">
      <c r="A17">
        <v>15</v>
      </c>
      <c r="B17" t="str">
        <f>HYPERLINK("#'建筑及装潢材料类'!A1","建筑及装潢材料类")</f>
        <v>建筑及装潢材料类</v>
      </c>
      <c r="C17">
        <v>144</v>
      </c>
    </row>
    <row r="18">
      <c r="A18">
        <v>16</v>
      </c>
      <c r="B18" t="str">
        <f>HYPERLINK("#'家用电器和音像器材类'!A1","家用电器和音像器材类")</f>
        <v>家用电器和音像器材类</v>
      </c>
      <c r="C18">
        <v>144</v>
      </c>
    </row>
    <row r="19">
      <c r="A19">
        <v>17</v>
      </c>
      <c r="B19" t="str">
        <f>HYPERLINK("#'家具类'!A1","家具类")</f>
        <v>家具类</v>
      </c>
      <c r="C19">
        <v>144</v>
      </c>
    </row>
    <row r="20">
      <c r="A20">
        <v>18</v>
      </c>
      <c r="B20" t="str">
        <f>HYPERLINK("#'化妆品类'!A1","化妆品类")</f>
        <v>化妆品类</v>
      </c>
      <c r="C20">
        <v>144</v>
      </c>
    </row>
    <row r="21">
      <c r="A21">
        <v>19</v>
      </c>
      <c r="B21" t="str">
        <f>HYPERLINK("#'服装鞋帽、针、纺织品类'!A1","服装鞋帽、针、纺织品类")</f>
        <v>服装鞋帽、针、纺织品类</v>
      </c>
      <c r="C21">
        <v>288</v>
      </c>
    </row>
  </sheetData>
  <mergeCells count="1">
    <mergeCell ref="A1:C1"/>
  </mergeCells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105"/>
  <sheetViews>
    <sheetView workbookViewId="0"/>
  </sheetViews>
  <cols>
    <col min="1" max="1" width="6.83203125" customWidth="1"/>
    <col min="2" max="2" width="30.83203125" customWidth="1"/>
    <col min="3" max="3" width="4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</cols>
  <sheetData>
    <row r="1">
      <c r="A1" t="str">
        <v>序号</v>
      </c>
      <c r="B1" t="str">
        <v>三级分类</v>
      </c>
      <c r="C1" t="str">
        <v>指标名称</v>
      </c>
      <c r="D1" t="str">
        <v>2026年4月</v>
      </c>
      <c r="E1" t="str">
        <v>2026年3月</v>
      </c>
      <c r="F1" t="str">
        <v>2026年2月</v>
      </c>
      <c r="G1" t="str">
        <v>2026年1月</v>
      </c>
      <c r="H1" t="str">
        <v>2025年12月</v>
      </c>
      <c r="I1" t="str">
        <v>2025年11月</v>
      </c>
      <c r="J1" t="str">
        <v>2025年10月</v>
      </c>
      <c r="K1" t="str">
        <v>2025年9月</v>
      </c>
      <c r="L1" t="str">
        <v>2025年8月</v>
      </c>
      <c r="M1" t="str">
        <v>2025年7月</v>
      </c>
      <c r="N1" t="str">
        <v>2025年6月</v>
      </c>
      <c r="O1" t="str">
        <v>2025年5月</v>
      </c>
      <c r="P1" t="str">
        <v>2025年4月</v>
      </c>
      <c r="Q1" t="str">
        <v>2025年3月</v>
      </c>
      <c r="R1" t="str">
        <v>2025年2月</v>
      </c>
      <c r="S1" t="str">
        <v>2025年1月</v>
      </c>
      <c r="T1" t="str">
        <v>2024年12月</v>
      </c>
      <c r="U1" t="str">
        <v>2024年11月</v>
      </c>
      <c r="V1" t="str">
        <v>2024年10月</v>
      </c>
      <c r="W1" t="str">
        <v>2024年9月</v>
      </c>
      <c r="X1" t="str">
        <v>2024年8月</v>
      </c>
      <c r="Y1" t="str">
        <v>2024年7月</v>
      </c>
      <c r="Z1" t="str">
        <v>2024年6月</v>
      </c>
      <c r="AA1" t="str">
        <v>2024年5月</v>
      </c>
      <c r="AB1" t="str">
        <v>2024年4月</v>
      </c>
      <c r="AC1" t="str">
        <v>2024年3月</v>
      </c>
      <c r="AD1" t="str">
        <v>2024年2月</v>
      </c>
      <c r="AE1" t="str">
        <v>2024年1月</v>
      </c>
      <c r="AF1" t="str">
        <v>2023年12月</v>
      </c>
      <c r="AG1" t="str">
        <v>2023年11月</v>
      </c>
      <c r="AH1" t="str">
        <v>2023年10月</v>
      </c>
      <c r="AI1" t="str">
        <v>2023年9月</v>
      </c>
      <c r="AJ1" t="str">
        <v>2023年8月</v>
      </c>
      <c r="AK1" t="str">
        <v>2023年7月</v>
      </c>
      <c r="AL1" t="str">
        <v>2023年6月</v>
      </c>
      <c r="AM1" t="str">
        <v>2023年5月</v>
      </c>
    </row>
    <row r="2">
      <c r="A2">
        <v>1</v>
      </c>
      <c r="B2" t="str">
        <v>中西药品类</v>
      </c>
      <c r="C2" t="str">
        <v xml:space="preserve">中西药品类商品零售类值同比增长 (%) </v>
      </c>
      <c r="D2" t="str">
        <v>-</v>
      </c>
      <c r="E2" t="str">
        <v>5.7</v>
      </c>
      <c r="F2" t="str">
        <v>-</v>
      </c>
      <c r="G2" t="str">
        <v>-</v>
      </c>
      <c r="H2" t="str">
        <v>1.2</v>
      </c>
      <c r="I2" t="str">
        <v>4.9</v>
      </c>
      <c r="J2" t="str">
        <v>3.6</v>
      </c>
      <c r="K2" t="str">
        <v>1.9</v>
      </c>
      <c r="L2" t="str">
        <v>0.9</v>
      </c>
      <c r="M2" t="str">
        <v>0.1</v>
      </c>
      <c r="N2" t="str">
        <v>-0.7</v>
      </c>
      <c r="O2" t="str">
        <v>0.3</v>
      </c>
      <c r="P2" t="str">
        <v>2.6</v>
      </c>
      <c r="Q2" t="str">
        <v>1.4</v>
      </c>
      <c r="R2" t="str">
        <v>-</v>
      </c>
      <c r="S2" t="str">
        <v>-</v>
      </c>
      <c r="T2" t="str">
        <v>-0.9</v>
      </c>
      <c r="U2" t="str">
        <v>-2.7</v>
      </c>
      <c r="V2" t="str">
        <v>1.4</v>
      </c>
      <c r="W2" t="str">
        <v>5.4</v>
      </c>
      <c r="X2" t="str">
        <v>4.3</v>
      </c>
      <c r="Y2" t="str">
        <v>5.8</v>
      </c>
      <c r="Z2" t="str">
        <v>4.5</v>
      </c>
      <c r="AA2" t="str">
        <v>4.3</v>
      </c>
      <c r="AB2" t="str">
        <v>7.8</v>
      </c>
      <c r="AC2" t="str">
        <v>5.9</v>
      </c>
      <c r="AD2" t="str">
        <v>-</v>
      </c>
      <c r="AE2" t="str">
        <v>-</v>
      </c>
      <c r="AF2" t="str">
        <v>-18.0</v>
      </c>
      <c r="AG2" t="str">
        <v>7.1</v>
      </c>
      <c r="AH2" t="str">
        <v>8.2</v>
      </c>
      <c r="AI2" t="str">
        <v>4.5</v>
      </c>
      <c r="AJ2" t="str">
        <v>3.7</v>
      </c>
      <c r="AK2" t="str">
        <v>3.7</v>
      </c>
      <c r="AL2" t="str">
        <v>6.6</v>
      </c>
      <c r="AM2" t="str">
        <v>7.1</v>
      </c>
    </row>
    <row r="3">
      <c r="A3">
        <v>2</v>
      </c>
      <c r="B3" t="str">
        <v>中西药品类</v>
      </c>
      <c r="C3" t="str">
        <v xml:space="preserve">中西药品类商品零售类值累计值 (亿元) </v>
      </c>
      <c r="D3" t="str">
        <v>-</v>
      </c>
      <c r="E3" t="str">
        <v>1824.3</v>
      </c>
      <c r="F3" t="str">
        <v>1156.3</v>
      </c>
      <c r="G3" t="str">
        <v>-</v>
      </c>
      <c r="H3" t="str">
        <v>7293.7</v>
      </c>
      <c r="I3" t="str">
        <v>6603.9</v>
      </c>
      <c r="J3" t="str">
        <v>5955.2</v>
      </c>
      <c r="K3" t="str">
        <v>5350.6</v>
      </c>
      <c r="L3" t="str">
        <v>4717.0</v>
      </c>
      <c r="M3" t="str">
        <v>4160.9</v>
      </c>
      <c r="N3" t="str">
        <v>3610.7</v>
      </c>
      <c r="O3" t="str">
        <v>2986.9</v>
      </c>
      <c r="P3" t="str">
        <v>2405.8</v>
      </c>
      <c r="Q3" t="str">
        <v>1826.8</v>
      </c>
      <c r="R3" t="str">
        <v>1175.9</v>
      </c>
      <c r="S3" t="str">
        <v>-</v>
      </c>
      <c r="T3" t="str">
        <v>7156.7</v>
      </c>
      <c r="U3" t="str">
        <v>6467.3</v>
      </c>
      <c r="V3" t="str">
        <v>5815.1</v>
      </c>
      <c r="W3" t="str">
        <v>5235.1</v>
      </c>
      <c r="X3" t="str">
        <v>4637.4</v>
      </c>
      <c r="Y3" t="str">
        <v>4078.0</v>
      </c>
      <c r="Z3" t="str">
        <v>3533.6</v>
      </c>
      <c r="AA3" t="str">
        <v>2913.7</v>
      </c>
      <c r="AB3" t="str">
        <v>2337.5</v>
      </c>
      <c r="AC3" t="str">
        <v>1770.6</v>
      </c>
      <c r="AD3" t="str">
        <v>1135.9</v>
      </c>
      <c r="AE3" t="str">
        <v>-</v>
      </c>
      <c r="AF3" t="str">
        <v>6709.8</v>
      </c>
      <c r="AG3" t="str">
        <v>6095.0</v>
      </c>
      <c r="AH3" t="str">
        <v>5467.9</v>
      </c>
      <c r="AI3" t="str">
        <v>4914.2</v>
      </c>
      <c r="AJ3" t="str">
        <v>4334.0</v>
      </c>
      <c r="AK3" t="str">
        <v>3820.1</v>
      </c>
      <c r="AL3" t="str">
        <v>3321.0</v>
      </c>
      <c r="AM3" t="str">
        <v>2722.0</v>
      </c>
    </row>
    <row r="4">
      <c r="A4">
        <v>3</v>
      </c>
      <c r="B4" t="str">
        <v>中西药品类</v>
      </c>
      <c r="C4" t="str">
        <v xml:space="preserve">中西药品类商品零售类值累计增长 (%) </v>
      </c>
      <c r="D4" t="str">
        <v>-</v>
      </c>
      <c r="E4" t="str">
        <v>2.4</v>
      </c>
      <c r="F4" t="str">
        <v>0.7</v>
      </c>
      <c r="G4" t="str">
        <v>-</v>
      </c>
      <c r="H4" t="str">
        <v>1.8</v>
      </c>
      <c r="I4" t="str">
        <v>1.8</v>
      </c>
      <c r="J4" t="str">
        <v>1.5</v>
      </c>
      <c r="K4" t="str">
        <v>1.3</v>
      </c>
      <c r="L4" t="str">
        <v>1.2</v>
      </c>
      <c r="M4" t="str">
        <v>1.2</v>
      </c>
      <c r="N4" t="str">
        <v>1.4</v>
      </c>
      <c r="O4" t="str">
        <v>1.8</v>
      </c>
      <c r="P4" t="str">
        <v>2.2</v>
      </c>
      <c r="Q4" t="str">
        <v>2.1</v>
      </c>
      <c r="R4" t="str">
        <v>2.5</v>
      </c>
      <c r="S4" t="str">
        <v>-</v>
      </c>
      <c r="T4" t="str">
        <v>3.1</v>
      </c>
      <c r="U4" t="str">
        <v>3.6</v>
      </c>
      <c r="V4" t="str">
        <v>4.3</v>
      </c>
      <c r="W4" t="str">
        <v>4.7</v>
      </c>
      <c r="X4" t="str">
        <v>4.6</v>
      </c>
      <c r="Y4" t="str">
        <v>4.6</v>
      </c>
      <c r="Z4" t="str">
        <v>4.4</v>
      </c>
      <c r="AA4" t="str">
        <v>4.4</v>
      </c>
      <c r="AB4" t="str">
        <v>4.4</v>
      </c>
      <c r="AC4" t="str">
        <v>3.3</v>
      </c>
      <c r="AD4" t="str">
        <v>2.0</v>
      </c>
      <c r="AE4" t="str">
        <v>-</v>
      </c>
      <c r="AF4" t="str">
        <v>5.1</v>
      </c>
      <c r="AG4" t="str">
        <v>8.5</v>
      </c>
      <c r="AH4" t="str">
        <v>8.7</v>
      </c>
      <c r="AI4" t="str">
        <v>8.7</v>
      </c>
      <c r="AJ4" t="str">
        <v>9.3</v>
      </c>
      <c r="AK4" t="str">
        <v>10.1</v>
      </c>
      <c r="AL4" t="str">
        <v>11.1</v>
      </c>
      <c r="AM4" t="str">
        <v>12.0</v>
      </c>
    </row>
    <row r="5">
      <c r="A5">
        <v>4</v>
      </c>
      <c r="B5" t="str">
        <v>中西药品类</v>
      </c>
      <c r="C5" t="str">
        <v xml:space="preserve">中西药品类商品零售类值当期值 (亿元) </v>
      </c>
      <c r="D5" t="str">
        <v>-</v>
      </c>
      <c r="E5" t="str">
        <v>667.9</v>
      </c>
      <c r="F5" t="str">
        <v>-</v>
      </c>
      <c r="G5" t="str">
        <v>-</v>
      </c>
      <c r="H5" t="str">
        <v>710.7</v>
      </c>
      <c r="I5" t="str">
        <v>660.4</v>
      </c>
      <c r="J5" t="str">
        <v>612.1</v>
      </c>
      <c r="K5" t="str">
        <v>636.6</v>
      </c>
      <c r="L5" t="str">
        <v>571.9</v>
      </c>
      <c r="M5" t="str">
        <v>558.5</v>
      </c>
      <c r="N5" t="str">
        <v>629.0</v>
      </c>
      <c r="O5" t="str">
        <v>588.2</v>
      </c>
      <c r="P5" t="str">
        <v>588.4</v>
      </c>
      <c r="Q5" t="str">
        <v>649.8</v>
      </c>
      <c r="R5" t="str">
        <v>-</v>
      </c>
      <c r="S5" t="str">
        <v>-</v>
      </c>
      <c r="T5" t="str">
        <v>695.0</v>
      </c>
      <c r="U5" t="str">
        <v>622.3</v>
      </c>
      <c r="V5" t="str">
        <v>583.1</v>
      </c>
      <c r="W5" t="str">
        <v>615.4</v>
      </c>
      <c r="X5" t="str">
        <v>556.8</v>
      </c>
      <c r="Y5" t="str">
        <v>547.9</v>
      </c>
      <c r="Z5" t="str">
        <v>626.3</v>
      </c>
      <c r="AA5" t="str">
        <v>577.3</v>
      </c>
      <c r="AB5" t="str">
        <v>565.0</v>
      </c>
      <c r="AC5" t="str">
        <v>633.8</v>
      </c>
      <c r="AD5" t="str">
        <v>-</v>
      </c>
      <c r="AE5" t="str">
        <v>-</v>
      </c>
      <c r="AF5" t="str">
        <v>681.7</v>
      </c>
      <c r="AG5" t="str">
        <v>626.6</v>
      </c>
      <c r="AH5" t="str">
        <v>564.3</v>
      </c>
      <c r="AI5" t="str">
        <v>574.0</v>
      </c>
      <c r="AJ5" t="str">
        <v>522.9</v>
      </c>
      <c r="AK5" t="str">
        <v>508.7</v>
      </c>
      <c r="AL5" t="str">
        <v>591.7</v>
      </c>
      <c r="AM5" t="str">
        <v>544.9</v>
      </c>
    </row>
    <row r="6">
      <c r="A6">
        <v>5</v>
      </c>
      <c r="B6" t="str">
        <v>文化办公用品类</v>
      </c>
      <c r="C6" t="str">
        <v xml:space="preserve">文化办公用品类商品零售类值同比增长 (%) </v>
      </c>
      <c r="D6" t="str">
        <v>-</v>
      </c>
      <c r="E6" t="str">
        <v>15.0</v>
      </c>
      <c r="F6" t="str">
        <v>-</v>
      </c>
      <c r="G6" t="str">
        <v>-</v>
      </c>
      <c r="H6" t="str">
        <v>9.2</v>
      </c>
      <c r="I6" t="str">
        <v>11.7</v>
      </c>
      <c r="J6" t="str">
        <v>13.5</v>
      </c>
      <c r="K6" t="str">
        <v>6.2</v>
      </c>
      <c r="L6" t="str">
        <v>14.2</v>
      </c>
      <c r="M6" t="str">
        <v>13.8</v>
      </c>
      <c r="N6" t="str">
        <v>24.4</v>
      </c>
      <c r="O6" t="str">
        <v>30.5</v>
      </c>
      <c r="P6" t="str">
        <v>33.5</v>
      </c>
      <c r="Q6" t="str">
        <v>21.5</v>
      </c>
      <c r="R6" t="str">
        <v>-</v>
      </c>
      <c r="S6" t="str">
        <v>-</v>
      </c>
      <c r="T6" t="str">
        <v>9.1</v>
      </c>
      <c r="U6" t="str">
        <v>-5.9</v>
      </c>
      <c r="V6" t="str">
        <v>18.0</v>
      </c>
      <c r="W6" t="str">
        <v>10.0</v>
      </c>
      <c r="X6" t="str">
        <v>-1.9</v>
      </c>
      <c r="Y6" t="str">
        <v>-2.4</v>
      </c>
      <c r="Z6" t="str">
        <v>-8.5</v>
      </c>
      <c r="AA6" t="str">
        <v>4.3</v>
      </c>
      <c r="AB6" t="str">
        <v>-4.4</v>
      </c>
      <c r="AC6" t="str">
        <v>-6.6</v>
      </c>
      <c r="AD6" t="str">
        <v>-</v>
      </c>
      <c r="AE6" t="str">
        <v>-</v>
      </c>
      <c r="AF6" t="str">
        <v>-9.0</v>
      </c>
      <c r="AG6" t="str">
        <v>-8.2</v>
      </c>
      <c r="AH6" t="str">
        <v>7.7</v>
      </c>
      <c r="AI6" t="str">
        <v>-13.6</v>
      </c>
      <c r="AJ6" t="str">
        <v>-8.4</v>
      </c>
      <c r="AK6" t="str">
        <v>-13.1</v>
      </c>
      <c r="AL6" t="str">
        <v>-9.9</v>
      </c>
      <c r="AM6" t="str">
        <v>-1.2</v>
      </c>
    </row>
    <row r="7">
      <c r="A7">
        <v>6</v>
      </c>
      <c r="B7" t="str">
        <v>文化办公用品类</v>
      </c>
      <c r="C7" t="str">
        <v xml:space="preserve">文化办公用品类商品零售类值累计值 (亿元) </v>
      </c>
      <c r="D7" t="str">
        <v>-</v>
      </c>
      <c r="E7" t="str">
        <v>1161.5</v>
      </c>
      <c r="F7" t="str">
        <v>693.7</v>
      </c>
      <c r="G7" t="str">
        <v>-</v>
      </c>
      <c r="H7" t="str">
        <v>5238.9</v>
      </c>
      <c r="I7" t="str">
        <v>4745.9</v>
      </c>
      <c r="J7" t="str">
        <v>4212.4</v>
      </c>
      <c r="K7" t="str">
        <v>3702.4</v>
      </c>
      <c r="L7" t="str">
        <v>3218.9</v>
      </c>
      <c r="M7" t="str">
        <v>2782.8</v>
      </c>
      <c r="N7" t="str">
        <v>2406.2</v>
      </c>
      <c r="O7" t="str">
        <v>1864.7</v>
      </c>
      <c r="P7" t="str">
        <v>1458.3</v>
      </c>
      <c r="Q7" t="str">
        <v>1101.4</v>
      </c>
      <c r="R7" t="str">
        <v>676.3</v>
      </c>
      <c r="S7" t="str">
        <v>-</v>
      </c>
      <c r="T7" t="str">
        <v>4327.4</v>
      </c>
      <c r="U7" t="str">
        <v>3880.5</v>
      </c>
      <c r="V7" t="str">
        <v>3419.8</v>
      </c>
      <c r="W7" t="str">
        <v>2967.5</v>
      </c>
      <c r="X7" t="str">
        <v>2514.8</v>
      </c>
      <c r="Y7" t="str">
        <v>2154.0</v>
      </c>
      <c r="Z7" t="str">
        <v>1838.5</v>
      </c>
      <c r="AA7" t="str">
        <v>1421.7</v>
      </c>
      <c r="AB7" t="str">
        <v>1128.7</v>
      </c>
      <c r="AC7" t="str">
        <v>871.6</v>
      </c>
      <c r="AD7" t="str">
        <v>542.9</v>
      </c>
      <c r="AE7" t="str">
        <v>-</v>
      </c>
      <c r="AF7" t="str">
        <v>4126.0</v>
      </c>
      <c r="AG7" t="str">
        <v>3742.9</v>
      </c>
      <c r="AH7" t="str">
        <v>3284.5</v>
      </c>
      <c r="AI7" t="str">
        <v>2929.2</v>
      </c>
      <c r="AJ7" t="str">
        <v>2542.7</v>
      </c>
      <c r="AK7" t="str">
        <v>2199.0</v>
      </c>
      <c r="AL7" t="str">
        <v>1895.1</v>
      </c>
      <c r="AM7" t="str">
        <v>1452.0</v>
      </c>
    </row>
    <row r="8">
      <c r="A8">
        <v>7</v>
      </c>
      <c r="B8" t="str">
        <v>文化办公用品类</v>
      </c>
      <c r="C8" t="str">
        <v xml:space="preserve">文化办公用品类商品零售类值累计增长 (%) </v>
      </c>
      <c r="D8" t="str">
        <v>-</v>
      </c>
      <c r="E8" t="str">
        <v>9.3</v>
      </c>
      <c r="F8" t="str">
        <v>5.8</v>
      </c>
      <c r="G8" t="str">
        <v>-</v>
      </c>
      <c r="H8" t="str">
        <v>17.3</v>
      </c>
      <c r="I8" t="str">
        <v>18.2</v>
      </c>
      <c r="J8" t="str">
        <v>19.1</v>
      </c>
      <c r="K8" t="str">
        <v>19.9</v>
      </c>
      <c r="L8" t="str">
        <v>22.3</v>
      </c>
      <c r="M8" t="str">
        <v>23.7</v>
      </c>
      <c r="N8" t="str">
        <v>25.4</v>
      </c>
      <c r="O8" t="str">
        <v>25.7</v>
      </c>
      <c r="P8" t="str">
        <v>24.4</v>
      </c>
      <c r="Q8" t="str">
        <v>21.7</v>
      </c>
      <c r="R8" t="str">
        <v>21.8</v>
      </c>
      <c r="S8" t="str">
        <v>-</v>
      </c>
      <c r="T8" t="str">
        <v>-0.3</v>
      </c>
      <c r="U8" t="str">
        <v>-1.3</v>
      </c>
      <c r="V8" t="str">
        <v>-0.6</v>
      </c>
      <c r="W8" t="str">
        <v>-2.9</v>
      </c>
      <c r="X8" t="str">
        <v>-4.9</v>
      </c>
      <c r="Y8" t="str">
        <v>-5.3</v>
      </c>
      <c r="Z8" t="str">
        <v>-5.8</v>
      </c>
      <c r="AA8" t="str">
        <v>-5.0</v>
      </c>
      <c r="AB8" t="str">
        <v>-7.2</v>
      </c>
      <c r="AC8" t="str">
        <v>-8.0</v>
      </c>
      <c r="AD8" t="str">
        <v>-8.8</v>
      </c>
      <c r="AE8" t="str">
        <v>-</v>
      </c>
      <c r="AF8" t="str">
        <v>-6.1</v>
      </c>
      <c r="AG8" t="str">
        <v>-5.8</v>
      </c>
      <c r="AH8" t="str">
        <v>-5.5</v>
      </c>
      <c r="AI8" t="str">
        <v>-6.8</v>
      </c>
      <c r="AJ8" t="str">
        <v>-5.7</v>
      </c>
      <c r="AK8" t="str">
        <v>-5.3</v>
      </c>
      <c r="AL8" t="str">
        <v>-3.9</v>
      </c>
      <c r="AM8" t="str">
        <v>-2.0</v>
      </c>
    </row>
    <row r="9">
      <c r="A9">
        <v>8</v>
      </c>
      <c r="B9" t="str">
        <v>文化办公用品类</v>
      </c>
      <c r="C9" t="str">
        <v xml:space="preserve">文化办公用品类商品零售类值当期值 (亿元) </v>
      </c>
      <c r="D9" t="str">
        <v>-</v>
      </c>
      <c r="E9" t="str">
        <v>470.3</v>
      </c>
      <c r="F9" t="str">
        <v>-</v>
      </c>
      <c r="G9" t="str">
        <v>-</v>
      </c>
      <c r="H9" t="str">
        <v>506.5</v>
      </c>
      <c r="I9" t="str">
        <v>524.1</v>
      </c>
      <c r="J9" t="str">
        <v>515.7</v>
      </c>
      <c r="K9" t="str">
        <v>485.1</v>
      </c>
      <c r="L9" t="str">
        <v>430.1</v>
      </c>
      <c r="M9" t="str">
        <v>373.3</v>
      </c>
      <c r="N9" t="str">
        <v>533.4</v>
      </c>
      <c r="O9" t="str">
        <v>398.8</v>
      </c>
      <c r="P9" t="str">
        <v>358.6</v>
      </c>
      <c r="Q9" t="str">
        <v>421.2</v>
      </c>
      <c r="R9" t="str">
        <v>-</v>
      </c>
      <c r="S9" t="str">
        <v>-</v>
      </c>
      <c r="T9" t="str">
        <v>450.4</v>
      </c>
      <c r="U9" t="str">
        <v>452.8</v>
      </c>
      <c r="V9" t="str">
        <v>437.7</v>
      </c>
      <c r="W9" t="str">
        <v>441.0</v>
      </c>
      <c r="X9" t="str">
        <v>361.6</v>
      </c>
      <c r="Y9" t="str">
        <v>311.8</v>
      </c>
      <c r="Z9" t="str">
        <v>413.6</v>
      </c>
      <c r="AA9" t="str">
        <v>294.0</v>
      </c>
      <c r="AB9" t="str">
        <v>258.3</v>
      </c>
      <c r="AC9" t="str">
        <v>330.4</v>
      </c>
      <c r="AD9" t="str">
        <v>-</v>
      </c>
      <c r="AE9" t="str">
        <v>-</v>
      </c>
      <c r="AF9" t="str">
        <v>392.8</v>
      </c>
      <c r="AG9" t="str">
        <v>459.6</v>
      </c>
      <c r="AH9" t="str">
        <v>353.1</v>
      </c>
      <c r="AI9" t="str">
        <v>384.1</v>
      </c>
      <c r="AJ9" t="str">
        <v>352.6</v>
      </c>
      <c r="AK9" t="str">
        <v>305.2</v>
      </c>
      <c r="AL9" t="str">
        <v>440.7</v>
      </c>
      <c r="AM9" t="str">
        <v>270.0</v>
      </c>
    </row>
    <row r="10">
      <c r="A10">
        <v>9</v>
      </c>
      <c r="B10" t="str">
        <v>网上商品和服务零售额</v>
      </c>
      <c r="C10" t="str">
        <v>用类商品网上零售额累计增长（%）</v>
      </c>
      <c r="D10" t="str">
        <v>-</v>
      </c>
      <c r="E10" t="str">
        <v>3.6</v>
      </c>
      <c r="F10" t="str">
        <v>4.7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-</v>
      </c>
      <c r="AB10" t="str">
        <v>-</v>
      </c>
      <c r="AC10" t="str">
        <v>-</v>
      </c>
      <c r="AD10" t="str">
        <v>-</v>
      </c>
      <c r="AE10" t="str">
        <v>-</v>
      </c>
      <c r="AF10" t="str">
        <v>-</v>
      </c>
      <c r="AG10" t="str">
        <v>-</v>
      </c>
      <c r="AH10" t="str">
        <v>-</v>
      </c>
      <c r="AI10" t="str">
        <v>-</v>
      </c>
      <c r="AJ10" t="str">
        <v>-</v>
      </c>
      <c r="AK10" t="str">
        <v>-</v>
      </c>
      <c r="AL10" t="str">
        <v>-</v>
      </c>
      <c r="AM10" t="str">
        <v>-</v>
      </c>
    </row>
    <row r="11">
      <c r="A11">
        <v>10</v>
      </c>
      <c r="B11" t="str">
        <v>网上商品和服务零售额</v>
      </c>
      <c r="C11" t="str">
        <v>网上商品零售额累计值（亿元）</v>
      </c>
      <c r="D11" t="str">
        <v>-</v>
      </c>
      <c r="E11" t="str">
        <v>31614.1</v>
      </c>
      <c r="F11" t="str">
        <v>20812.0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  <c r="AJ11" t="str">
        <v>-</v>
      </c>
      <c r="AK11" t="str">
        <v>-</v>
      </c>
      <c r="AL11" t="str">
        <v>-</v>
      </c>
      <c r="AM11" t="str">
        <v>-</v>
      </c>
    </row>
    <row r="12">
      <c r="A12">
        <v>11</v>
      </c>
      <c r="B12" t="str">
        <v>网上商品和服务零售额</v>
      </c>
      <c r="C12" t="str">
        <v>网上商品零售额累计增长（%）</v>
      </c>
      <c r="D12" t="str">
        <v>-</v>
      </c>
      <c r="E12" t="str">
        <v>7.5</v>
      </c>
      <c r="F12" t="str">
        <v>10.3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-</v>
      </c>
      <c r="AB12" t="str">
        <v>-</v>
      </c>
      <c r="AC12" t="str">
        <v>-</v>
      </c>
      <c r="AD12" t="str">
        <v>-</v>
      </c>
      <c r="AE12" t="str">
        <v>-</v>
      </c>
      <c r="AF12" t="str">
        <v>-</v>
      </c>
      <c r="AG12" t="str">
        <v>-</v>
      </c>
      <c r="AH12" t="str">
        <v>-</v>
      </c>
      <c r="AI12" t="str">
        <v>-</v>
      </c>
      <c r="AJ12" t="str">
        <v>-</v>
      </c>
      <c r="AK12" t="str">
        <v>-</v>
      </c>
      <c r="AL12" t="str">
        <v>-</v>
      </c>
      <c r="AM12" t="str">
        <v>-</v>
      </c>
    </row>
    <row r="13">
      <c r="A13">
        <v>12</v>
      </c>
      <c r="B13" t="str">
        <v>网上商品和服务零售额</v>
      </c>
      <c r="C13" t="str">
        <v>网上商品和服务零售额累计值（亿元）</v>
      </c>
      <c r="D13" t="str">
        <v>-</v>
      </c>
      <c r="E13" t="str">
        <v>49773.8</v>
      </c>
      <c r="F13" t="str">
        <v>32545.8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-</v>
      </c>
      <c r="AB13" t="str">
        <v>-</v>
      </c>
      <c r="AC13" t="str">
        <v>-</v>
      </c>
      <c r="AD13" t="str">
        <v>-</v>
      </c>
      <c r="AE13" t="str">
        <v>-</v>
      </c>
      <c r="AF13" t="str">
        <v>-</v>
      </c>
      <c r="AG13" t="str">
        <v>-</v>
      </c>
      <c r="AH13" t="str">
        <v>-</v>
      </c>
      <c r="AI13" t="str">
        <v>-</v>
      </c>
      <c r="AJ13" t="str">
        <v>-</v>
      </c>
      <c r="AK13" t="str">
        <v>-</v>
      </c>
      <c r="AL13" t="str">
        <v>-</v>
      </c>
      <c r="AM13" t="str">
        <v>-</v>
      </c>
    </row>
    <row r="14">
      <c r="A14">
        <v>13</v>
      </c>
      <c r="B14" t="str">
        <v>网上商品和服务零售额</v>
      </c>
      <c r="C14" t="str">
        <v>网上商品和服务零售额累计增长（%）</v>
      </c>
      <c r="D14" t="str">
        <v>-</v>
      </c>
      <c r="E14" t="str">
        <v>8.0</v>
      </c>
      <c r="F14" t="str">
        <v>9.2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  <c r="V14" t="str">
        <v>-</v>
      </c>
      <c r="W14" t="str">
        <v>-</v>
      </c>
      <c r="X14" t="str">
        <v>-</v>
      </c>
      <c r="Y14" t="str">
        <v>-</v>
      </c>
      <c r="Z14" t="str">
        <v>-</v>
      </c>
      <c r="AA14" t="str">
        <v>-</v>
      </c>
      <c r="AB14" t="str">
        <v>-</v>
      </c>
      <c r="AC14" t="str">
        <v>-</v>
      </c>
      <c r="AD14" t="str">
        <v>-</v>
      </c>
      <c r="AE14" t="str">
        <v>-</v>
      </c>
      <c r="AF14" t="str">
        <v>-</v>
      </c>
      <c r="AG14" t="str">
        <v>-</v>
      </c>
      <c r="AH14" t="str">
        <v>-</v>
      </c>
      <c r="AI14" t="str">
        <v>-</v>
      </c>
      <c r="AJ14" t="str">
        <v>-</v>
      </c>
      <c r="AK14" t="str">
        <v>-</v>
      </c>
      <c r="AL14" t="str">
        <v>-</v>
      </c>
      <c r="AM14" t="str">
        <v>-</v>
      </c>
    </row>
    <row r="15">
      <c r="A15">
        <v>14</v>
      </c>
      <c r="B15" t="str">
        <v>网上商品和服务零售额</v>
      </c>
      <c r="C15" t="str">
        <v>网上服务零售额累计值（亿元）</v>
      </c>
      <c r="D15" t="str">
        <v>-</v>
      </c>
      <c r="E15" t="str">
        <v>18159.7</v>
      </c>
      <c r="F15" t="str">
        <v>11733.8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  <c r="V15" t="str">
        <v>-</v>
      </c>
      <c r="W15" t="str">
        <v>-</v>
      </c>
      <c r="X15" t="str">
        <v>-</v>
      </c>
      <c r="Y15" t="str">
        <v>-</v>
      </c>
      <c r="Z15" t="str">
        <v>-</v>
      </c>
      <c r="AA15" t="str">
        <v>-</v>
      </c>
      <c r="AB15" t="str">
        <v>-</v>
      </c>
      <c r="AC15" t="str">
        <v>-</v>
      </c>
      <c r="AD15" t="str">
        <v>-</v>
      </c>
      <c r="AE15" t="str">
        <v>-</v>
      </c>
      <c r="AF15" t="str">
        <v>-</v>
      </c>
      <c r="AG15" t="str">
        <v>-</v>
      </c>
      <c r="AH15" t="str">
        <v>-</v>
      </c>
      <c r="AI15" t="str">
        <v>-</v>
      </c>
      <c r="AJ15" t="str">
        <v>-</v>
      </c>
      <c r="AK15" t="str">
        <v>-</v>
      </c>
      <c r="AL15" t="str">
        <v>-</v>
      </c>
      <c r="AM15" t="str">
        <v>-</v>
      </c>
    </row>
    <row r="16">
      <c r="A16">
        <v>15</v>
      </c>
      <c r="B16" t="str">
        <v>网上商品和服务零售额</v>
      </c>
      <c r="C16" t="str">
        <v>网上服务零售额累计增长（%）</v>
      </c>
      <c r="D16" t="str">
        <v>-</v>
      </c>
      <c r="E16" t="str">
        <v>8.8</v>
      </c>
      <c r="F16" t="str">
        <v>7.3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</row>
    <row r="17">
      <c r="A17">
        <v>16</v>
      </c>
      <c r="B17" t="str">
        <v>网上商品和服务零售额</v>
      </c>
      <c r="C17" t="str">
        <v>穿类商品网上零售额累计增长（%）</v>
      </c>
      <c r="D17" t="str">
        <v>-</v>
      </c>
      <c r="E17" t="str">
        <v>11.6</v>
      </c>
      <c r="F17" t="str">
        <v>18.0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-</v>
      </c>
      <c r="V17" t="str">
        <v>-</v>
      </c>
      <c r="W17" t="str">
        <v>-</v>
      </c>
      <c r="X17" t="str">
        <v>-</v>
      </c>
      <c r="Y17" t="str">
        <v>-</v>
      </c>
      <c r="Z17" t="str">
        <v>-</v>
      </c>
      <c r="AA17" t="str">
        <v>-</v>
      </c>
      <c r="AB17" t="str">
        <v>-</v>
      </c>
      <c r="AC17" t="str">
        <v>-</v>
      </c>
      <c r="AD17" t="str">
        <v>-</v>
      </c>
      <c r="AE17" t="str">
        <v>-</v>
      </c>
      <c r="AF17" t="str">
        <v>-</v>
      </c>
      <c r="AG17" t="str">
        <v>-</v>
      </c>
      <c r="AH17" t="str">
        <v>-</v>
      </c>
      <c r="AI17" t="str">
        <v>-</v>
      </c>
      <c r="AJ17" t="str">
        <v>-</v>
      </c>
      <c r="AK17" t="str">
        <v>-</v>
      </c>
      <c r="AL17" t="str">
        <v>-</v>
      </c>
      <c r="AM17" t="str">
        <v>-</v>
      </c>
    </row>
    <row r="18">
      <c r="A18">
        <v>17</v>
      </c>
      <c r="B18" t="str">
        <v>网上商品和服务零售额</v>
      </c>
      <c r="C18" t="str">
        <v>吃类商品网上零售额累计增长（%）</v>
      </c>
      <c r="D18" t="str">
        <v>-</v>
      </c>
      <c r="E18" t="str">
        <v>17.2</v>
      </c>
      <c r="F18" t="str">
        <v>20.7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  <c r="V18" t="str">
        <v>-</v>
      </c>
      <c r="W18" t="str">
        <v>-</v>
      </c>
      <c r="X18" t="str">
        <v>-</v>
      </c>
      <c r="Y18" t="str">
        <v>-</v>
      </c>
      <c r="Z18" t="str">
        <v>-</v>
      </c>
      <c r="AA18" t="str">
        <v>-</v>
      </c>
      <c r="AB18" t="str">
        <v>-</v>
      </c>
      <c r="AC18" t="str">
        <v>-</v>
      </c>
      <c r="AD18" t="str">
        <v>-</v>
      </c>
      <c r="AE18" t="str">
        <v>-</v>
      </c>
      <c r="AF18" t="str">
        <v>-</v>
      </c>
      <c r="AG18" t="str">
        <v>-</v>
      </c>
      <c r="AH18" t="str">
        <v>-</v>
      </c>
      <c r="AI18" t="str">
        <v>-</v>
      </c>
      <c r="AJ18" t="str">
        <v>-</v>
      </c>
      <c r="AK18" t="str">
        <v>-</v>
      </c>
      <c r="AL18" t="str">
        <v>-</v>
      </c>
      <c r="AM18" t="str">
        <v>-</v>
      </c>
    </row>
    <row r="19">
      <c r="A19">
        <v>18</v>
      </c>
      <c r="B19" t="str">
        <v>网上零售额</v>
      </c>
      <c r="C19" t="str">
        <v>用类实物商品网上零售额累计增长（%）</v>
      </c>
      <c r="D19" t="str">
        <v>-</v>
      </c>
      <c r="E19" t="str">
        <v>-</v>
      </c>
      <c r="F19" t="str">
        <v>-</v>
      </c>
      <c r="G19" t="str">
        <v>-</v>
      </c>
      <c r="H19" t="str">
        <v>4.1</v>
      </c>
      <c r="I19" t="str">
        <v>4.4</v>
      </c>
      <c r="J19" t="str">
        <v>5.1</v>
      </c>
      <c r="K19" t="str">
        <v>5.7</v>
      </c>
      <c r="L19" t="str">
        <v>5.7</v>
      </c>
      <c r="M19" t="str">
        <v>5.8</v>
      </c>
      <c r="N19" t="str">
        <v>5.3</v>
      </c>
      <c r="O19" t="str">
        <v>6.1</v>
      </c>
      <c r="P19" t="str">
        <v>5.5</v>
      </c>
      <c r="Q19" t="str">
        <v>5.6</v>
      </c>
      <c r="R19" t="str">
        <v>5.4</v>
      </c>
      <c r="S19" t="str">
        <v>-</v>
      </c>
      <c r="T19" t="str">
        <v>6.3</v>
      </c>
      <c r="U19" t="str">
        <v>6.3</v>
      </c>
      <c r="V19" t="str">
        <v>7.7</v>
      </c>
      <c r="W19" t="str">
        <v>7.2</v>
      </c>
      <c r="X19" t="str">
        <v>7.0</v>
      </c>
      <c r="Y19" t="str">
        <v>7.5</v>
      </c>
      <c r="Z19" t="str">
        <v>7.8</v>
      </c>
      <c r="AA19" t="str">
        <v>10.8</v>
      </c>
      <c r="AB19" t="str">
        <v>9.8</v>
      </c>
      <c r="AC19" t="str">
        <v>9.7</v>
      </c>
      <c r="AD19" t="str">
        <v>10.8</v>
      </c>
      <c r="AE19" t="str">
        <v>-</v>
      </c>
      <c r="AF19" t="str">
        <v>7.1</v>
      </c>
      <c r="AG19" t="str">
        <v>7.5</v>
      </c>
      <c r="AH19" t="str">
        <v>8.2</v>
      </c>
      <c r="AI19" t="str">
        <v>8.5</v>
      </c>
      <c r="AJ19" t="str">
        <v>9.2</v>
      </c>
      <c r="AK19" t="str">
        <v>9.5</v>
      </c>
      <c r="AL19" t="str">
        <v>10.3</v>
      </c>
      <c r="AM19" t="str">
        <v>11.5</v>
      </c>
    </row>
    <row r="20">
      <c r="A20">
        <v>19</v>
      </c>
      <c r="B20" t="str">
        <v>网上零售额</v>
      </c>
      <c r="C20" t="str">
        <v>网上零售额累计值（亿元）</v>
      </c>
      <c r="D20" t="str">
        <v>-</v>
      </c>
      <c r="E20" t="str">
        <v>-</v>
      </c>
      <c r="F20" t="str">
        <v>-</v>
      </c>
      <c r="G20" t="str">
        <v>-</v>
      </c>
      <c r="H20" t="str">
        <v>159721.7</v>
      </c>
      <c r="I20" t="str">
        <v>144582.5</v>
      </c>
      <c r="J20" t="str">
        <v>127916.4</v>
      </c>
      <c r="K20" t="str">
        <v>112829.9</v>
      </c>
      <c r="L20" t="str">
        <v>99828.1</v>
      </c>
      <c r="M20" t="str">
        <v>86835.4</v>
      </c>
      <c r="N20" t="str">
        <v>74295.3</v>
      </c>
      <c r="O20" t="str">
        <v>60401.5</v>
      </c>
      <c r="P20" t="str">
        <v>47418.9</v>
      </c>
      <c r="Q20" t="str">
        <v>36242.2</v>
      </c>
      <c r="R20" t="str">
        <v>22762.6</v>
      </c>
      <c r="S20" t="str">
        <v>-</v>
      </c>
      <c r="T20" t="str">
        <v>155224.9</v>
      </c>
      <c r="U20" t="str">
        <v>140308.4</v>
      </c>
      <c r="V20" t="str">
        <v>123632.0</v>
      </c>
      <c r="W20" t="str">
        <v>108927.9</v>
      </c>
      <c r="X20" t="str">
        <v>96352.4</v>
      </c>
      <c r="Y20" t="str">
        <v>83784.0</v>
      </c>
      <c r="Z20" t="str">
        <v>70991.4</v>
      </c>
      <c r="AA20" t="str">
        <v>57668.8</v>
      </c>
      <c r="AB20" t="str">
        <v>44110.3</v>
      </c>
      <c r="AC20" t="str">
        <v>33081.8</v>
      </c>
      <c r="AD20" t="str">
        <v>21535.4</v>
      </c>
      <c r="AE20" t="str">
        <v>-</v>
      </c>
      <c r="AF20" t="str">
        <v>154264.2</v>
      </c>
      <c r="AG20" t="str">
        <v>139570.6</v>
      </c>
      <c r="AH20" t="str">
        <v>122914.7</v>
      </c>
      <c r="AI20" t="str">
        <v>108198.5</v>
      </c>
      <c r="AJ20" t="str">
        <v>95386.6</v>
      </c>
      <c r="AK20" t="str">
        <v>83097.5</v>
      </c>
      <c r="AL20" t="str">
        <v>71621.2</v>
      </c>
      <c r="AM20" t="str">
        <v>56905.7</v>
      </c>
    </row>
    <row r="21">
      <c r="A21">
        <v>20</v>
      </c>
      <c r="B21" t="str">
        <v>网上零售额</v>
      </c>
      <c r="C21" t="str">
        <v>网上零售额累计增长（%）</v>
      </c>
      <c r="D21" t="str">
        <v>-</v>
      </c>
      <c r="E21" t="str">
        <v>-</v>
      </c>
      <c r="F21" t="str">
        <v>-</v>
      </c>
      <c r="G21" t="str">
        <v>-</v>
      </c>
      <c r="H21" t="str">
        <v>8.6</v>
      </c>
      <c r="I21" t="str">
        <v>9.1</v>
      </c>
      <c r="J21" t="str">
        <v>9.6</v>
      </c>
      <c r="K21" t="str">
        <v>9.8</v>
      </c>
      <c r="L21" t="str">
        <v>9.6</v>
      </c>
      <c r="M21" t="str">
        <v>9.2</v>
      </c>
      <c r="N21" t="str">
        <v>8.5</v>
      </c>
      <c r="O21" t="str">
        <v>8.5</v>
      </c>
      <c r="P21" t="str">
        <v>7.7</v>
      </c>
      <c r="Q21" t="str">
        <v>7.9</v>
      </c>
      <c r="R21" t="str">
        <v>7.3</v>
      </c>
      <c r="S21" t="str">
        <v>-</v>
      </c>
      <c r="T21" t="str">
        <v>7.2</v>
      </c>
      <c r="U21" t="str">
        <v>7.4</v>
      </c>
      <c r="V21" t="str">
        <v>8.8</v>
      </c>
      <c r="W21" t="str">
        <v>8.6</v>
      </c>
      <c r="X21" t="str">
        <v>8.9</v>
      </c>
      <c r="Y21" t="str">
        <v>9.5</v>
      </c>
      <c r="Z21" t="str">
        <v>9.8</v>
      </c>
      <c r="AA21" t="str">
        <v>12.4</v>
      </c>
      <c r="AB21" t="str">
        <v>11.5</v>
      </c>
      <c r="AC21" t="str">
        <v>12.4</v>
      </c>
      <c r="AD21" t="str">
        <v>15.3</v>
      </c>
      <c r="AE21" t="str">
        <v>-</v>
      </c>
      <c r="AF21" t="str">
        <v>11.0</v>
      </c>
      <c r="AG21" t="str">
        <v>11.0</v>
      </c>
      <c r="AH21" t="str">
        <v>11.2</v>
      </c>
      <c r="AI21" t="str">
        <v>11.6</v>
      </c>
      <c r="AJ21" t="str">
        <v>12.1</v>
      </c>
      <c r="AK21" t="str">
        <v>12.5</v>
      </c>
      <c r="AL21" t="str">
        <v>13.1</v>
      </c>
      <c r="AM21" t="str">
        <v>13.8</v>
      </c>
    </row>
    <row r="22">
      <c r="A22">
        <v>21</v>
      </c>
      <c r="B22" t="str">
        <v>网上零售额</v>
      </c>
      <c r="C22" t="str">
        <v>实物商品网上零售额累计值（亿元）</v>
      </c>
      <c r="D22" t="str">
        <v>-</v>
      </c>
      <c r="E22" t="str">
        <v>-</v>
      </c>
      <c r="F22" t="str">
        <v>-</v>
      </c>
      <c r="G22" t="str">
        <v>-</v>
      </c>
      <c r="H22" t="str">
        <v>130922.6</v>
      </c>
      <c r="I22" t="str">
        <v>118192.6</v>
      </c>
      <c r="J22" t="str">
        <v>103983.9</v>
      </c>
      <c r="K22" t="str">
        <v>91527.5</v>
      </c>
      <c r="L22" t="str">
        <v>80964.4</v>
      </c>
      <c r="M22" t="str">
        <v>70790.5</v>
      </c>
      <c r="N22" t="str">
        <v>61191.2</v>
      </c>
      <c r="O22" t="str">
        <v>49878.0</v>
      </c>
      <c r="P22" t="str">
        <v>39265.4</v>
      </c>
      <c r="Q22" t="str">
        <v>29948.2</v>
      </c>
      <c r="R22" t="str">
        <v>18632.6</v>
      </c>
      <c r="S22" t="str">
        <v>-</v>
      </c>
      <c r="T22" t="str">
        <v>130815.7</v>
      </c>
      <c r="U22" t="str">
        <v>118058.8</v>
      </c>
      <c r="V22" t="str">
        <v>103330.4</v>
      </c>
      <c r="W22" t="str">
        <v>90721.1</v>
      </c>
      <c r="X22" t="str">
        <v>80142.6</v>
      </c>
      <c r="Y22" t="str">
        <v>70093.0</v>
      </c>
      <c r="Z22" t="str">
        <v>59595.9</v>
      </c>
      <c r="AA22" t="str">
        <v>48280.4</v>
      </c>
      <c r="AB22" t="str">
        <v>37355.7</v>
      </c>
      <c r="AC22" t="str">
        <v>28052.5</v>
      </c>
      <c r="AD22" t="str">
        <v>18206.5</v>
      </c>
      <c r="AE22" t="str">
        <v>-</v>
      </c>
      <c r="AF22" t="str">
        <v>130173.8</v>
      </c>
      <c r="AG22" t="str">
        <v>117708.8</v>
      </c>
      <c r="AH22" t="str">
        <v>103009.7</v>
      </c>
      <c r="AI22" t="str">
        <v>90435.0</v>
      </c>
      <c r="AJ22" t="str">
        <v>79820.6</v>
      </c>
      <c r="AK22" t="str">
        <v>69856.1</v>
      </c>
      <c r="AL22" t="str">
        <v>60622.7</v>
      </c>
      <c r="AM22" t="str">
        <v>48054.7</v>
      </c>
    </row>
    <row r="23">
      <c r="A23">
        <v>22</v>
      </c>
      <c r="B23" t="str">
        <v>网上零售额</v>
      </c>
      <c r="C23" t="str">
        <v>实物商品网上零售额累计增长（%）</v>
      </c>
      <c r="D23" t="str">
        <v>-</v>
      </c>
      <c r="E23" t="str">
        <v>-</v>
      </c>
      <c r="F23" t="str">
        <v>-</v>
      </c>
      <c r="G23" t="str">
        <v>-</v>
      </c>
      <c r="H23" t="str">
        <v>5.2</v>
      </c>
      <c r="I23" t="str">
        <v>5.7</v>
      </c>
      <c r="J23" t="str">
        <v>6.3</v>
      </c>
      <c r="K23" t="str">
        <v>6.5</v>
      </c>
      <c r="L23" t="str">
        <v>6.4</v>
      </c>
      <c r="M23" t="str">
        <v>6.3</v>
      </c>
      <c r="N23" t="str">
        <v>6.0</v>
      </c>
      <c r="O23" t="str">
        <v>6.3</v>
      </c>
      <c r="P23" t="str">
        <v>5.8</v>
      </c>
      <c r="Q23" t="str">
        <v>5.7</v>
      </c>
      <c r="R23" t="str">
        <v>5.0</v>
      </c>
      <c r="S23" t="str">
        <v>-</v>
      </c>
      <c r="T23" t="str">
        <v>6.5</v>
      </c>
      <c r="U23" t="str">
        <v>6.8</v>
      </c>
      <c r="V23" t="str">
        <v>8.3</v>
      </c>
      <c r="W23" t="str">
        <v>7.9</v>
      </c>
      <c r="X23" t="str">
        <v>8.1</v>
      </c>
      <c r="Y23" t="str">
        <v>8.7</v>
      </c>
      <c r="Z23" t="str">
        <v>8.8</v>
      </c>
      <c r="AA23" t="str">
        <v>11.5</v>
      </c>
      <c r="AB23" t="str">
        <v>11.1</v>
      </c>
      <c r="AC23" t="str">
        <v>11.6</v>
      </c>
      <c r="AD23" t="str">
        <v>14.4</v>
      </c>
      <c r="AE23" t="str">
        <v>-</v>
      </c>
      <c r="AF23" t="str">
        <v>8.4</v>
      </c>
      <c r="AG23" t="str">
        <v>8.3</v>
      </c>
      <c r="AH23" t="str">
        <v>8.4</v>
      </c>
      <c r="AI23" t="str">
        <v>8.9</v>
      </c>
      <c r="AJ23" t="str">
        <v>9.5</v>
      </c>
      <c r="AK23" t="str">
        <v>10.0</v>
      </c>
      <c r="AL23" t="str">
        <v>10.8</v>
      </c>
      <c r="AM23" t="str">
        <v>11.8</v>
      </c>
    </row>
    <row r="24">
      <c r="A24">
        <v>23</v>
      </c>
      <c r="B24" t="str">
        <v>网上零售额</v>
      </c>
      <c r="C24" t="str">
        <v>穿类实物商品网上零售额累计增长（%）</v>
      </c>
      <c r="D24" t="str">
        <v>-</v>
      </c>
      <c r="E24" t="str">
        <v>-</v>
      </c>
      <c r="F24" t="str">
        <v>-</v>
      </c>
      <c r="G24" t="str">
        <v>-</v>
      </c>
      <c r="H24" t="str">
        <v>1.9</v>
      </c>
      <c r="I24" t="str">
        <v>3.5</v>
      </c>
      <c r="J24" t="str">
        <v>3.6</v>
      </c>
      <c r="K24" t="str">
        <v>2.8</v>
      </c>
      <c r="L24" t="str">
        <v>2.4</v>
      </c>
      <c r="M24" t="str">
        <v>1.7</v>
      </c>
      <c r="N24" t="str">
        <v>1.4</v>
      </c>
      <c r="O24" t="str">
        <v>1.2</v>
      </c>
      <c r="P24" t="str">
        <v>0.5</v>
      </c>
      <c r="Q24" t="str">
        <v>-0.1</v>
      </c>
      <c r="R24" t="str">
        <v>-0.6</v>
      </c>
      <c r="S24" t="str">
        <v>-</v>
      </c>
      <c r="T24" t="str">
        <v>1.5</v>
      </c>
      <c r="U24" t="str">
        <v>2.8</v>
      </c>
      <c r="V24" t="str">
        <v>4.7</v>
      </c>
      <c r="W24" t="str">
        <v>4.1</v>
      </c>
      <c r="X24" t="str">
        <v>5.0</v>
      </c>
      <c r="Y24" t="str">
        <v>6.3</v>
      </c>
      <c r="Z24" t="str">
        <v>7.0</v>
      </c>
      <c r="AA24" t="str">
        <v>9.0</v>
      </c>
      <c r="AB24" t="str">
        <v>10.5</v>
      </c>
      <c r="AC24" t="str">
        <v>12.1</v>
      </c>
      <c r="AD24" t="str">
        <v>17.8</v>
      </c>
      <c r="AE24" t="str">
        <v>-</v>
      </c>
      <c r="AF24" t="str">
        <v>10.8</v>
      </c>
      <c r="AG24" t="str">
        <v>9.2</v>
      </c>
      <c r="AH24" t="str">
        <v>7.6</v>
      </c>
      <c r="AI24" t="str">
        <v>9.6</v>
      </c>
      <c r="AJ24" t="str">
        <v>10.9</v>
      </c>
      <c r="AK24" t="str">
        <v>12.0</v>
      </c>
      <c r="AL24" t="str">
        <v>13.3</v>
      </c>
      <c r="AM24" t="str">
        <v>14.6</v>
      </c>
    </row>
    <row r="25">
      <c r="A25">
        <v>24</v>
      </c>
      <c r="B25" t="str">
        <v>网上零售额</v>
      </c>
      <c r="C25" t="str">
        <v>吃类实物商品网上零售额累计增长（%）</v>
      </c>
      <c r="D25" t="str">
        <v>-</v>
      </c>
      <c r="E25" t="str">
        <v>-</v>
      </c>
      <c r="F25" t="str">
        <v>-</v>
      </c>
      <c r="G25" t="str">
        <v>-</v>
      </c>
      <c r="H25" t="str">
        <v>14.5</v>
      </c>
      <c r="I25" t="str">
        <v>14.9</v>
      </c>
      <c r="J25" t="str">
        <v>15.1</v>
      </c>
      <c r="K25" t="str">
        <v>15.1</v>
      </c>
      <c r="L25" t="str">
        <v>15.0</v>
      </c>
      <c r="M25" t="str">
        <v>14.7</v>
      </c>
      <c r="N25" t="str">
        <v>15.7</v>
      </c>
      <c r="O25" t="str">
        <v>14.5</v>
      </c>
      <c r="P25" t="str">
        <v>14.6</v>
      </c>
      <c r="Q25" t="str">
        <v>14.0</v>
      </c>
      <c r="R25" t="str">
        <v>10.8</v>
      </c>
      <c r="S25" t="str">
        <v>-</v>
      </c>
      <c r="T25" t="str">
        <v>16.0</v>
      </c>
      <c r="U25" t="str">
        <v>16.2</v>
      </c>
      <c r="V25" t="str">
        <v>17.7</v>
      </c>
      <c r="W25" t="str">
        <v>17.8</v>
      </c>
      <c r="X25" t="str">
        <v>19.1</v>
      </c>
      <c r="Y25" t="str">
        <v>19.7</v>
      </c>
      <c r="Z25" t="str">
        <v>17.8</v>
      </c>
      <c r="AA25" t="str">
        <v>19.6</v>
      </c>
      <c r="AB25" t="str">
        <v>19.2</v>
      </c>
      <c r="AC25" t="str">
        <v>21.1</v>
      </c>
      <c r="AD25" t="str">
        <v>26.1</v>
      </c>
      <c r="AE25" t="str">
        <v>-</v>
      </c>
      <c r="AF25" t="str">
        <v>11.2</v>
      </c>
      <c r="AG25" t="str">
        <v>12.0</v>
      </c>
      <c r="AH25" t="str">
        <v>11.3</v>
      </c>
      <c r="AI25" t="str">
        <v>10.4</v>
      </c>
      <c r="AJ25" t="str">
        <v>8.4</v>
      </c>
      <c r="AK25" t="str">
        <v>8.7</v>
      </c>
      <c r="AL25" t="str">
        <v>8.9</v>
      </c>
      <c r="AM25" t="str">
        <v>8.4</v>
      </c>
    </row>
    <row r="26">
      <c r="A26">
        <v>25</v>
      </c>
      <c r="B26" t="str">
        <v>通讯器材类</v>
      </c>
      <c r="C26" t="str">
        <v xml:space="preserve">通讯器材类商品零售类值同比增长 (%) </v>
      </c>
      <c r="D26" t="str">
        <v>-</v>
      </c>
      <c r="E26" t="str">
        <v>27.3</v>
      </c>
      <c r="F26" t="str">
        <v>-</v>
      </c>
      <c r="G26" t="str">
        <v>-</v>
      </c>
      <c r="H26" t="str">
        <v>20.9</v>
      </c>
      <c r="I26" t="str">
        <v>20.6</v>
      </c>
      <c r="J26" t="str">
        <v>23.2</v>
      </c>
      <c r="K26" t="str">
        <v>16.2</v>
      </c>
      <c r="L26" t="str">
        <v>7.3</v>
      </c>
      <c r="M26" t="str">
        <v>14.9</v>
      </c>
      <c r="N26" t="str">
        <v>13.9</v>
      </c>
      <c r="O26" t="str">
        <v>33.0</v>
      </c>
      <c r="P26" t="str">
        <v>19.9</v>
      </c>
      <c r="Q26" t="str">
        <v>28.6</v>
      </c>
      <c r="R26" t="str">
        <v>-</v>
      </c>
      <c r="S26" t="str">
        <v>-</v>
      </c>
      <c r="T26" t="str">
        <v>14.0</v>
      </c>
      <c r="U26" t="str">
        <v>-7.7</v>
      </c>
      <c r="V26" t="str">
        <v>14.4</v>
      </c>
      <c r="W26" t="str">
        <v>12.3</v>
      </c>
      <c r="X26" t="str">
        <v>14.8</v>
      </c>
      <c r="Y26" t="str">
        <v>12.7</v>
      </c>
      <c r="Z26" t="str">
        <v>2.9</v>
      </c>
      <c r="AA26" t="str">
        <v>16.6</v>
      </c>
      <c r="AB26" t="str">
        <v>13.3</v>
      </c>
      <c r="AC26" t="str">
        <v>7.2</v>
      </c>
      <c r="AD26" t="str">
        <v>-</v>
      </c>
      <c r="AE26" t="str">
        <v>-</v>
      </c>
      <c r="AF26" t="str">
        <v>11.0</v>
      </c>
      <c r="AG26" t="str">
        <v>16.8</v>
      </c>
      <c r="AH26" t="str">
        <v>14.6</v>
      </c>
      <c r="AI26" t="str">
        <v>0.4</v>
      </c>
      <c r="AJ26" t="str">
        <v>8.5</v>
      </c>
      <c r="AK26" t="str">
        <v>3.0</v>
      </c>
      <c r="AL26" t="str">
        <v>6.6</v>
      </c>
      <c r="AM26" t="str">
        <v>27.4</v>
      </c>
    </row>
    <row r="27">
      <c r="A27">
        <v>26</v>
      </c>
      <c r="B27" t="str">
        <v>通讯器材类</v>
      </c>
      <c r="C27" t="str">
        <v xml:space="preserve">通讯器材类商品零售类值累计值 (亿元) </v>
      </c>
      <c r="D27" t="str">
        <v>-</v>
      </c>
      <c r="E27" t="str">
        <v>2839.7</v>
      </c>
      <c r="F27" t="str">
        <v>1874.5</v>
      </c>
      <c r="G27" t="str">
        <v>-</v>
      </c>
      <c r="H27" t="str">
        <v>10075.6</v>
      </c>
      <c r="I27" t="str">
        <v>9128.9</v>
      </c>
      <c r="J27" t="str">
        <v>8105.3</v>
      </c>
      <c r="K27" t="str">
        <v>7025.2</v>
      </c>
      <c r="L27" t="str">
        <v>6200.8</v>
      </c>
      <c r="M27" t="str">
        <v>5560.2</v>
      </c>
      <c r="N27" t="str">
        <v>4890.1</v>
      </c>
      <c r="O27" t="str">
        <v>3871.3</v>
      </c>
      <c r="P27" t="str">
        <v>2992.4</v>
      </c>
      <c r="Q27" t="str">
        <v>2366.7</v>
      </c>
      <c r="R27" t="str">
        <v>1593.9</v>
      </c>
      <c r="S27" t="str">
        <v>-</v>
      </c>
      <c r="T27" t="str">
        <v>7901.6</v>
      </c>
      <c r="U27" t="str">
        <v>7169.0</v>
      </c>
      <c r="V27" t="str">
        <v>6330.8</v>
      </c>
      <c r="W27" t="str">
        <v>5459.2</v>
      </c>
      <c r="X27" t="str">
        <v>4765.3</v>
      </c>
      <c r="Y27" t="str">
        <v>4211.1</v>
      </c>
      <c r="Z27" t="str">
        <v>3691.8</v>
      </c>
      <c r="AA27" t="str">
        <v>2855.8</v>
      </c>
      <c r="AB27" t="str">
        <v>2246.3</v>
      </c>
      <c r="AC27" t="str">
        <v>1766.9</v>
      </c>
      <c r="AD27" t="str">
        <v>1215.5</v>
      </c>
      <c r="AE27" t="str">
        <v>-</v>
      </c>
      <c r="AF27" t="str">
        <v>6814.0</v>
      </c>
      <c r="AG27" t="str">
        <v>6184.7</v>
      </c>
      <c r="AH27" t="str">
        <v>5357.9</v>
      </c>
      <c r="AI27" t="str">
        <v>4658.1</v>
      </c>
      <c r="AJ27" t="str">
        <v>4081.5</v>
      </c>
      <c r="AK27" t="str">
        <v>3651.2</v>
      </c>
      <c r="AL27" t="str">
        <v>3228.1</v>
      </c>
      <c r="AM27" t="str">
        <v>2447.2</v>
      </c>
    </row>
    <row r="28">
      <c r="A28">
        <v>27</v>
      </c>
      <c r="B28" t="str">
        <v>通讯器材类</v>
      </c>
      <c r="C28" t="str">
        <v xml:space="preserve">通讯器材类商品零售类值累计增长 (%) </v>
      </c>
      <c r="D28" t="str">
        <v>-</v>
      </c>
      <c r="E28" t="str">
        <v>20.8</v>
      </c>
      <c r="F28" t="str">
        <v>17.8</v>
      </c>
      <c r="G28" t="str">
        <v>-</v>
      </c>
      <c r="H28" t="str">
        <v>20.9</v>
      </c>
      <c r="I28" t="str">
        <v>20.9</v>
      </c>
      <c r="J28" t="str">
        <v>20.9</v>
      </c>
      <c r="K28" t="str">
        <v>20.5</v>
      </c>
      <c r="L28" t="str">
        <v>21.1</v>
      </c>
      <c r="M28" t="str">
        <v>22.9</v>
      </c>
      <c r="N28" t="str">
        <v>24.1</v>
      </c>
      <c r="O28" t="str">
        <v>27.1</v>
      </c>
      <c r="P28" t="str">
        <v>25.4</v>
      </c>
      <c r="Q28" t="str">
        <v>26.9</v>
      </c>
      <c r="R28" t="str">
        <v>26.2</v>
      </c>
      <c r="S28" t="str">
        <v>-</v>
      </c>
      <c r="T28" t="str">
        <v>9.9</v>
      </c>
      <c r="U28" t="str">
        <v>9.5</v>
      </c>
      <c r="V28" t="str">
        <v>12.2</v>
      </c>
      <c r="W28" t="str">
        <v>11.9</v>
      </c>
      <c r="X28" t="str">
        <v>11.8</v>
      </c>
      <c r="Y28" t="str">
        <v>11.4</v>
      </c>
      <c r="Z28" t="str">
        <v>11.3</v>
      </c>
      <c r="AA28" t="str">
        <v>13.9</v>
      </c>
      <c r="AB28" t="str">
        <v>13.2</v>
      </c>
      <c r="AC28" t="str">
        <v>13.2</v>
      </c>
      <c r="AD28" t="str">
        <v>16.2</v>
      </c>
      <c r="AE28" t="str">
        <v>-</v>
      </c>
      <c r="AF28" t="str">
        <v>7.0</v>
      </c>
      <c r="AG28" t="str">
        <v>6.6</v>
      </c>
      <c r="AH28" t="str">
        <v>5.2</v>
      </c>
      <c r="AI28" t="str">
        <v>3.9</v>
      </c>
      <c r="AJ28" t="str">
        <v>4.4</v>
      </c>
      <c r="AK28" t="str">
        <v>4.0</v>
      </c>
      <c r="AL28" t="str">
        <v>4.1</v>
      </c>
      <c r="AM28" t="str">
        <v>3.3</v>
      </c>
    </row>
    <row r="29">
      <c r="A29">
        <v>28</v>
      </c>
      <c r="B29" t="str">
        <v>通讯器材类</v>
      </c>
      <c r="C29" t="str">
        <v xml:space="preserve">通讯器材类商品零售类值当期值 (亿元) </v>
      </c>
      <c r="D29" t="str">
        <v>-</v>
      </c>
      <c r="E29" t="str">
        <v>952.2</v>
      </c>
      <c r="F29" t="str">
        <v>-</v>
      </c>
      <c r="G29" t="str">
        <v>-</v>
      </c>
      <c r="H29" t="str">
        <v>949.4</v>
      </c>
      <c r="I29" t="str">
        <v>998.1</v>
      </c>
      <c r="J29" t="str">
        <v>1079.9</v>
      </c>
      <c r="K29" t="str">
        <v>811.9</v>
      </c>
      <c r="L29" t="str">
        <v>628.2</v>
      </c>
      <c r="M29" t="str">
        <v>656.8</v>
      </c>
      <c r="N29" t="str">
        <v>1006.0</v>
      </c>
      <c r="O29" t="str">
        <v>870.7</v>
      </c>
      <c r="P29" t="str">
        <v>619.9</v>
      </c>
      <c r="Q29" t="str">
        <v>764.7</v>
      </c>
      <c r="R29" t="str">
        <v>-</v>
      </c>
      <c r="S29" t="str">
        <v>-</v>
      </c>
      <c r="T29" t="str">
        <v>742.7</v>
      </c>
      <c r="U29" t="str">
        <v>792.6</v>
      </c>
      <c r="V29" t="str">
        <v>835.0</v>
      </c>
      <c r="W29" t="str">
        <v>662.6</v>
      </c>
      <c r="X29" t="str">
        <v>540.4</v>
      </c>
      <c r="Y29" t="str">
        <v>521.3</v>
      </c>
      <c r="Z29" t="str">
        <v>819.7</v>
      </c>
      <c r="AA29" t="str">
        <v>610.4</v>
      </c>
      <c r="AB29" t="str">
        <v>480.3</v>
      </c>
      <c r="AC29" t="str">
        <v>560.4</v>
      </c>
      <c r="AD29" t="str">
        <v>-</v>
      </c>
      <c r="AE29" t="str">
        <v>-</v>
      </c>
      <c r="AF29" t="str">
        <v>627.8</v>
      </c>
      <c r="AG29" t="str">
        <v>826.3</v>
      </c>
      <c r="AH29" t="str">
        <v>698.8</v>
      </c>
      <c r="AI29" t="str">
        <v>567.0</v>
      </c>
      <c r="AJ29" t="str">
        <v>455.1</v>
      </c>
      <c r="AK29" t="str">
        <v>446.6</v>
      </c>
      <c r="AL29" t="str">
        <v>781.6</v>
      </c>
      <c r="AM29" t="str">
        <v>508.1</v>
      </c>
    </row>
    <row r="30">
      <c r="A30">
        <v>29</v>
      </c>
      <c r="B30" t="str">
        <v>体育、娱乐用品类</v>
      </c>
      <c r="C30" t="str">
        <v xml:space="preserve">体育、娱乐用品类商品零售类值同比增长 (%) </v>
      </c>
      <c r="D30" t="str">
        <v>-</v>
      </c>
      <c r="E30" t="str">
        <v>-2.0</v>
      </c>
      <c r="F30" t="str">
        <v>-</v>
      </c>
      <c r="G30" t="str">
        <v>-</v>
      </c>
      <c r="H30" t="str">
        <v>9.0</v>
      </c>
      <c r="I30" t="str">
        <v>0.4</v>
      </c>
      <c r="J30" t="str">
        <v>10.1</v>
      </c>
      <c r="K30" t="str">
        <v>11.9</v>
      </c>
      <c r="L30" t="str">
        <v>16.9</v>
      </c>
      <c r="M30" t="str">
        <v>13.7</v>
      </c>
      <c r="N30" t="str">
        <v>9.5</v>
      </c>
      <c r="O30" t="str">
        <v>28.3</v>
      </c>
      <c r="P30" t="str">
        <v>23.3</v>
      </c>
      <c r="Q30" t="str">
        <v>26.2</v>
      </c>
      <c r="R30" t="str">
        <v>-</v>
      </c>
      <c r="S30" t="str">
        <v>-</v>
      </c>
      <c r="T30" t="str">
        <v>16.7</v>
      </c>
      <c r="U30" t="str">
        <v>3.5</v>
      </c>
      <c r="V30" t="str">
        <v>26.7</v>
      </c>
      <c r="W30" t="str">
        <v>6.2</v>
      </c>
      <c r="X30" t="str">
        <v>3.2</v>
      </c>
      <c r="Y30" t="str">
        <v>10.7</v>
      </c>
      <c r="Z30" t="str">
        <v>-1.5</v>
      </c>
      <c r="AA30" t="str">
        <v>20.2</v>
      </c>
      <c r="AB30" t="str">
        <v>12.7</v>
      </c>
      <c r="AC30" t="str">
        <v>19.3</v>
      </c>
      <c r="AD30" t="str">
        <v>-</v>
      </c>
      <c r="AE30" t="str">
        <v>-</v>
      </c>
      <c r="AF30" t="str">
        <v>16.7</v>
      </c>
      <c r="AG30" t="str">
        <v>16.0</v>
      </c>
      <c r="AH30" t="str">
        <v>25.7</v>
      </c>
      <c r="AI30" t="str">
        <v>10.7</v>
      </c>
      <c r="AJ30" t="str">
        <v>-0.7</v>
      </c>
      <c r="AK30" t="str">
        <v>2.6</v>
      </c>
      <c r="AL30" t="str">
        <v>9.2</v>
      </c>
      <c r="AM30" t="str">
        <v>14.3</v>
      </c>
    </row>
    <row r="31">
      <c r="A31">
        <v>30</v>
      </c>
      <c r="B31" t="str">
        <v>体育、娱乐用品类</v>
      </c>
      <c r="C31" t="str">
        <v xml:space="preserve">体育、娱乐用品类商品零售类值累计值 (亿元) </v>
      </c>
      <c r="D31" t="str">
        <v>-</v>
      </c>
      <c r="E31" t="str">
        <v>410.5</v>
      </c>
      <c r="F31" t="str">
        <v>264.9</v>
      </c>
      <c r="G31" t="str">
        <v>-</v>
      </c>
      <c r="H31" t="str">
        <v>1702.8</v>
      </c>
      <c r="I31" t="str">
        <v>1552.4</v>
      </c>
      <c r="J31" t="str">
        <v>1396.7</v>
      </c>
      <c r="K31" t="str">
        <v>1240.0</v>
      </c>
      <c r="L31" t="str">
        <v>1109.3</v>
      </c>
      <c r="M31" t="str">
        <v>987.8</v>
      </c>
      <c r="N31" t="str">
        <v>857.6</v>
      </c>
      <c r="O31" t="str">
        <v>690.8</v>
      </c>
      <c r="P31" t="str">
        <v>532.4</v>
      </c>
      <c r="Q31" t="str">
        <v>399.0</v>
      </c>
      <c r="R31" t="str">
        <v>247.2</v>
      </c>
      <c r="S31" t="str">
        <v>-</v>
      </c>
      <c r="T31" t="str">
        <v>1415.4</v>
      </c>
      <c r="U31" t="str">
        <v>1282.8</v>
      </c>
      <c r="V31" t="str">
        <v>1128.5</v>
      </c>
      <c r="W31" t="str">
        <v>991.3</v>
      </c>
      <c r="X31" t="str">
        <v>877.6</v>
      </c>
      <c r="Y31" t="str">
        <v>773.8</v>
      </c>
      <c r="Z31" t="str">
        <v>667.9</v>
      </c>
      <c r="AA31" t="str">
        <v>525.0</v>
      </c>
      <c r="AB31" t="str">
        <v>407.7</v>
      </c>
      <c r="AC31" t="str">
        <v>306.9</v>
      </c>
      <c r="AD31" t="str">
        <v>193.1</v>
      </c>
      <c r="AE31" t="str">
        <v>-</v>
      </c>
      <c r="AF31" t="str">
        <v>1185.5</v>
      </c>
      <c r="AG31" t="str">
        <v>1079.5</v>
      </c>
      <c r="AH31" t="str">
        <v>944.5</v>
      </c>
      <c r="AI31" t="str">
        <v>847.4</v>
      </c>
      <c r="AJ31" t="str">
        <v>772.4</v>
      </c>
      <c r="AK31" t="str">
        <v>675.9</v>
      </c>
      <c r="AL31" t="str">
        <v>584.8</v>
      </c>
      <c r="AM31" t="str">
        <v>444.4</v>
      </c>
    </row>
    <row r="32">
      <c r="A32">
        <v>31</v>
      </c>
      <c r="B32" t="str">
        <v>体育、娱乐用品类</v>
      </c>
      <c r="C32" t="str">
        <v xml:space="preserve">体育、娱乐用品类商品零售类值累计增长 (%) </v>
      </c>
      <c r="D32" t="str">
        <v>-</v>
      </c>
      <c r="E32" t="str">
        <v>1.9</v>
      </c>
      <c r="F32" t="str">
        <v>4.1</v>
      </c>
      <c r="G32" t="str">
        <v>-</v>
      </c>
      <c r="H32" t="str">
        <v>15.7</v>
      </c>
      <c r="I32" t="str">
        <v>16.4</v>
      </c>
      <c r="J32" t="str">
        <v>18.4</v>
      </c>
      <c r="K32" t="str">
        <v>19.6</v>
      </c>
      <c r="L32" t="str">
        <v>20.6</v>
      </c>
      <c r="M32" t="str">
        <v>21.1</v>
      </c>
      <c r="N32" t="str">
        <v>22.2</v>
      </c>
      <c r="O32" t="str">
        <v>25.7</v>
      </c>
      <c r="P32" t="str">
        <v>24.9</v>
      </c>
      <c r="Q32" t="str">
        <v>25.4</v>
      </c>
      <c r="R32" t="str">
        <v>25.0</v>
      </c>
      <c r="S32" t="str">
        <v>-</v>
      </c>
      <c r="T32" t="str">
        <v>11.1</v>
      </c>
      <c r="U32" t="str">
        <v>10.5</v>
      </c>
      <c r="V32" t="str">
        <v>11.5</v>
      </c>
      <c r="W32" t="str">
        <v>9.7</v>
      </c>
      <c r="X32" t="str">
        <v>10.1</v>
      </c>
      <c r="Y32" t="str">
        <v>11.1</v>
      </c>
      <c r="Z32" t="str">
        <v>11.2</v>
      </c>
      <c r="AA32" t="str">
        <v>15.2</v>
      </c>
      <c r="AB32" t="str">
        <v>13.8</v>
      </c>
      <c r="AC32" t="str">
        <v>14.2</v>
      </c>
      <c r="AD32" t="str">
        <v>11.3</v>
      </c>
      <c r="AE32" t="str">
        <v>-</v>
      </c>
      <c r="AF32" t="str">
        <v>11.2</v>
      </c>
      <c r="AG32" t="str">
        <v>10.7</v>
      </c>
      <c r="AH32" t="str">
        <v>9.9</v>
      </c>
      <c r="AI32" t="str">
        <v>8.3</v>
      </c>
      <c r="AJ32" t="str">
        <v>8.0</v>
      </c>
      <c r="AK32" t="str">
        <v>9.4</v>
      </c>
      <c r="AL32" t="str">
        <v>10.5</v>
      </c>
      <c r="AM32" t="str">
        <v>11.0</v>
      </c>
    </row>
    <row r="33">
      <c r="A33">
        <v>32</v>
      </c>
      <c r="B33" t="str">
        <v>体育、娱乐用品类</v>
      </c>
      <c r="C33" t="str">
        <v xml:space="preserve">体育、娱乐用品类商品零售类值当期值 (亿元) </v>
      </c>
      <c r="D33" t="str">
        <v>-</v>
      </c>
      <c r="E33" t="str">
        <v>144.7</v>
      </c>
      <c r="F33" t="str">
        <v>-</v>
      </c>
      <c r="G33" t="str">
        <v>-</v>
      </c>
      <c r="H33" t="str">
        <v>152.1</v>
      </c>
      <c r="I33" t="str">
        <v>154.5</v>
      </c>
      <c r="J33" t="str">
        <v>156.8</v>
      </c>
      <c r="K33" t="str">
        <v>129.4</v>
      </c>
      <c r="L33" t="str">
        <v>127.1</v>
      </c>
      <c r="M33" t="str">
        <v>127.3</v>
      </c>
      <c r="N33" t="str">
        <v>164.9</v>
      </c>
      <c r="O33" t="str">
        <v>161.7</v>
      </c>
      <c r="P33" t="str">
        <v>131.8</v>
      </c>
      <c r="Q33" t="str">
        <v>151.5</v>
      </c>
      <c r="R33" t="str">
        <v>-</v>
      </c>
      <c r="S33" t="str">
        <v>-</v>
      </c>
      <c r="T33" t="str">
        <v>133.7</v>
      </c>
      <c r="U33" t="str">
        <v>148.3</v>
      </c>
      <c r="V33" t="str">
        <v>135.8</v>
      </c>
      <c r="W33" t="str">
        <v>109.2</v>
      </c>
      <c r="X33" t="str">
        <v>103.6</v>
      </c>
      <c r="Y33" t="str">
        <v>104.9</v>
      </c>
      <c r="Z33" t="str">
        <v>142.1</v>
      </c>
      <c r="AA33" t="str">
        <v>118.4</v>
      </c>
      <c r="AB33" t="str">
        <v>100.3</v>
      </c>
      <c r="AC33" t="str">
        <v>113.9</v>
      </c>
      <c r="AD33" t="str">
        <v>-</v>
      </c>
      <c r="AE33" t="str">
        <v>-</v>
      </c>
      <c r="AF33" t="str">
        <v>109.4</v>
      </c>
      <c r="AG33" t="str">
        <v>137.8</v>
      </c>
      <c r="AH33" t="str">
        <v>103.0</v>
      </c>
      <c r="AI33" t="str">
        <v>98.1</v>
      </c>
      <c r="AJ33" t="str">
        <v>95.9</v>
      </c>
      <c r="AK33" t="str">
        <v>91.0</v>
      </c>
      <c r="AL33" t="str">
        <v>140.8</v>
      </c>
      <c r="AM33" t="str">
        <v>95.0</v>
      </c>
    </row>
    <row r="34">
      <c r="A34">
        <v>33</v>
      </c>
      <c r="B34" t="str">
        <v>书报杂志类</v>
      </c>
      <c r="C34" t="str">
        <v xml:space="preserve">书报杂志类商品零售类值同比增长 (%) </v>
      </c>
      <c r="D34" t="str">
        <v>-</v>
      </c>
      <c r="E34" t="str">
        <v>3.9</v>
      </c>
      <c r="F34" t="str">
        <v>-</v>
      </c>
      <c r="G34" t="str">
        <v>-</v>
      </c>
      <c r="H34" t="str">
        <v>4.6</v>
      </c>
      <c r="I34" t="str">
        <v>0.5</v>
      </c>
      <c r="J34" t="str">
        <v>-3.5</v>
      </c>
      <c r="K34" t="str">
        <v>-6.9</v>
      </c>
      <c r="L34" t="str">
        <v>11.9</v>
      </c>
      <c r="M34" t="str">
        <v>-6.6</v>
      </c>
      <c r="N34" t="str">
        <v>-10.7</v>
      </c>
      <c r="O34" t="str">
        <v>-8.4</v>
      </c>
      <c r="P34" t="str">
        <v>-8.5</v>
      </c>
      <c r="Q34" t="str">
        <v>2.8</v>
      </c>
      <c r="R34" t="str">
        <v>-</v>
      </c>
      <c r="S34" t="str">
        <v>-</v>
      </c>
      <c r="T34" t="str">
        <v>-12.2</v>
      </c>
      <c r="U34" t="str">
        <v>-10.1</v>
      </c>
      <c r="V34" t="str">
        <v>-4.8</v>
      </c>
      <c r="W34" t="str">
        <v>5.1</v>
      </c>
      <c r="X34" t="str">
        <v>-3.9</v>
      </c>
      <c r="Y34" t="str">
        <v>-2.7</v>
      </c>
      <c r="Z34" t="str">
        <v>0.8</v>
      </c>
      <c r="AA34" t="str">
        <v>-5.1</v>
      </c>
      <c r="AB34" t="str">
        <v>-2.0</v>
      </c>
      <c r="AC34" t="str">
        <v>10.7</v>
      </c>
      <c r="AD34" t="str">
        <v>-</v>
      </c>
      <c r="AE34" t="str">
        <v>-</v>
      </c>
      <c r="AF34" t="str">
        <v>-3.6</v>
      </c>
      <c r="AG34" t="str">
        <v>4.6</v>
      </c>
      <c r="AH34" t="str">
        <v>-0.3</v>
      </c>
      <c r="AI34" t="str">
        <v>8.7</v>
      </c>
      <c r="AJ34" t="str">
        <v>0.7</v>
      </c>
      <c r="AK34" t="str">
        <v>-2.8</v>
      </c>
      <c r="AL34" t="str">
        <v>2.1</v>
      </c>
      <c r="AM34" t="str">
        <v>10.9</v>
      </c>
    </row>
    <row r="35">
      <c r="A35">
        <v>34</v>
      </c>
      <c r="B35" t="str">
        <v>书报杂志类</v>
      </c>
      <c r="C35" t="str">
        <v xml:space="preserve">书报杂志类商品零售类值累计值 (亿元) </v>
      </c>
      <c r="D35" t="str">
        <v>-</v>
      </c>
      <c r="E35" t="str">
        <v>393.3</v>
      </c>
      <c r="F35" t="str">
        <v>175.1</v>
      </c>
      <c r="G35" t="str">
        <v>-</v>
      </c>
      <c r="H35" t="str">
        <v>1706.8</v>
      </c>
      <c r="I35" t="str">
        <v>1527.3</v>
      </c>
      <c r="J35" t="str">
        <v>1349.7</v>
      </c>
      <c r="K35" t="str">
        <v>1207.8</v>
      </c>
      <c r="L35" t="str">
        <v>996.3</v>
      </c>
      <c r="M35" t="str">
        <v>899.8</v>
      </c>
      <c r="N35" t="str">
        <v>814.4</v>
      </c>
      <c r="O35" t="str">
        <v>655.9</v>
      </c>
      <c r="P35" t="str">
        <v>530.1</v>
      </c>
      <c r="Q35" t="str">
        <v>404.6</v>
      </c>
      <c r="R35" t="str">
        <v>190.8</v>
      </c>
      <c r="S35" t="str">
        <v>-</v>
      </c>
      <c r="T35" t="str">
        <v>1767.7</v>
      </c>
      <c r="U35" t="str">
        <v>1582.4</v>
      </c>
      <c r="V35" t="str">
        <v>1401.3</v>
      </c>
      <c r="W35" t="str">
        <v>1252.9</v>
      </c>
      <c r="X35" t="str">
        <v>1024.8</v>
      </c>
      <c r="Y35" t="str">
        <v>939.5</v>
      </c>
      <c r="Z35" t="str">
        <v>848.8</v>
      </c>
      <c r="AA35" t="str">
        <v>672.2</v>
      </c>
      <c r="AB35" t="str">
        <v>535.7</v>
      </c>
      <c r="AC35" t="str">
        <v>400.1</v>
      </c>
      <c r="AD35" t="str">
        <v>185.6</v>
      </c>
      <c r="AE35" t="str">
        <v>-</v>
      </c>
      <c r="AF35" t="str">
        <v>1750.0</v>
      </c>
      <c r="AG35" t="str">
        <v>1547.4</v>
      </c>
      <c r="AH35" t="str">
        <v>1348.9</v>
      </c>
      <c r="AI35" t="str">
        <v>1199.0</v>
      </c>
      <c r="AJ35" t="str">
        <v>989.6</v>
      </c>
      <c r="AK35" t="str">
        <v>903.8</v>
      </c>
      <c r="AL35" t="str">
        <v>816.9</v>
      </c>
      <c r="AM35" t="str">
        <v>643.7</v>
      </c>
    </row>
    <row r="36">
      <c r="A36">
        <v>35</v>
      </c>
      <c r="B36" t="str">
        <v>书报杂志类</v>
      </c>
      <c r="C36" t="str">
        <v xml:space="preserve">书报杂志类商品零售类值累计增长 (%) </v>
      </c>
      <c r="D36" t="str">
        <v>-</v>
      </c>
      <c r="E36" t="str">
        <v>-2.2</v>
      </c>
      <c r="F36" t="str">
        <v>-9.0</v>
      </c>
      <c r="G36" t="str">
        <v>-</v>
      </c>
      <c r="H36" t="str">
        <v>-2.4</v>
      </c>
      <c r="I36" t="str">
        <v>-3.2</v>
      </c>
      <c r="J36" t="str">
        <v>-3.6</v>
      </c>
      <c r="K36" t="str">
        <v>-3.7</v>
      </c>
      <c r="L36" t="str">
        <v>-2.9</v>
      </c>
      <c r="M36" t="str">
        <v>-4.3</v>
      </c>
      <c r="N36" t="str">
        <v>-4.1</v>
      </c>
      <c r="O36" t="str">
        <v>-2.3</v>
      </c>
      <c r="P36" t="str">
        <v>-0.7</v>
      </c>
      <c r="Q36" t="str">
        <v>2.0</v>
      </c>
      <c r="R36" t="str">
        <v>1.2</v>
      </c>
      <c r="S36" t="str">
        <v>-</v>
      </c>
      <c r="T36" t="str">
        <v>-1.6</v>
      </c>
      <c r="U36" t="str">
        <v>-0.2</v>
      </c>
      <c r="V36" t="str">
        <v>1.2</v>
      </c>
      <c r="W36" t="str">
        <v>1.9</v>
      </c>
      <c r="X36" t="str">
        <v>1.3</v>
      </c>
      <c r="Y36" t="str">
        <v>1.7</v>
      </c>
      <c r="Z36" t="str">
        <v>2.2</v>
      </c>
      <c r="AA36" t="str">
        <v>2.6</v>
      </c>
      <c r="AB36" t="str">
        <v>4.8</v>
      </c>
      <c r="AC36" t="str">
        <v>7.3</v>
      </c>
      <c r="AD36" t="str">
        <v>3.7</v>
      </c>
      <c r="AE36" t="str">
        <v>-</v>
      </c>
      <c r="AF36" t="str">
        <v>4.8</v>
      </c>
      <c r="AG36" t="str">
        <v>6.1</v>
      </c>
      <c r="AH36" t="str">
        <v>6.3</v>
      </c>
      <c r="AI36" t="str">
        <v>7.2</v>
      </c>
      <c r="AJ36" t="str">
        <v>6.8</v>
      </c>
      <c r="AK36" t="str">
        <v>7.4</v>
      </c>
      <c r="AL36" t="str">
        <v>8.6</v>
      </c>
      <c r="AM36" t="str">
        <v>10.5</v>
      </c>
    </row>
    <row r="37">
      <c r="A37">
        <v>36</v>
      </c>
      <c r="B37" t="str">
        <v>书报杂志类</v>
      </c>
      <c r="C37" t="str">
        <v xml:space="preserve">书报杂志类商品零售类值当期值 (亿元) </v>
      </c>
      <c r="D37" t="str">
        <v>-</v>
      </c>
      <c r="E37" t="str">
        <v>220.4</v>
      </c>
      <c r="F37" t="str">
        <v>-</v>
      </c>
      <c r="G37" t="str">
        <v>-</v>
      </c>
      <c r="H37" t="str">
        <v>189.0</v>
      </c>
      <c r="I37" t="str">
        <v>176.9</v>
      </c>
      <c r="J37" t="str">
        <v>144.7</v>
      </c>
      <c r="K37" t="str">
        <v>210.6</v>
      </c>
      <c r="L37" t="str">
        <v>96.9</v>
      </c>
      <c r="M37" t="str">
        <v>86.7</v>
      </c>
      <c r="N37" t="str">
        <v>160.0</v>
      </c>
      <c r="O37" t="str">
        <v>126.1</v>
      </c>
      <c r="P37" t="str">
        <v>125.2</v>
      </c>
      <c r="Q37" t="str">
        <v>212.8</v>
      </c>
      <c r="R37" t="str">
        <v>-</v>
      </c>
      <c r="S37" t="str">
        <v>-</v>
      </c>
      <c r="T37" t="str">
        <v>184.3</v>
      </c>
      <c r="U37" t="str">
        <v>173.6</v>
      </c>
      <c r="V37" t="str">
        <v>147.0</v>
      </c>
      <c r="W37" t="str">
        <v>225.3</v>
      </c>
      <c r="X37" t="str">
        <v>84.2</v>
      </c>
      <c r="Y37" t="str">
        <v>89.5</v>
      </c>
      <c r="Z37" t="str">
        <v>177.8</v>
      </c>
      <c r="AA37" t="str">
        <v>136.1</v>
      </c>
      <c r="AB37" t="str">
        <v>135.3</v>
      </c>
      <c r="AC37" t="str">
        <v>214.3</v>
      </c>
      <c r="AD37" t="str">
        <v>-</v>
      </c>
      <c r="AE37" t="str">
        <v>-</v>
      </c>
      <c r="AF37" t="str">
        <v>204.6</v>
      </c>
      <c r="AG37" t="str">
        <v>189.1</v>
      </c>
      <c r="AH37" t="str">
        <v>149.2</v>
      </c>
      <c r="AI37" t="str">
        <v>209.2</v>
      </c>
      <c r="AJ37" t="str">
        <v>84.6</v>
      </c>
      <c r="AK37" t="str">
        <v>86.8</v>
      </c>
      <c r="AL37" t="str">
        <v>172.4</v>
      </c>
      <c r="AM37" t="str">
        <v>140.7</v>
      </c>
    </row>
    <row r="38">
      <c r="A38">
        <v>37</v>
      </c>
      <c r="B38" t="str">
        <v>石油及制品类</v>
      </c>
      <c r="C38" t="str">
        <v xml:space="preserve">石油及制品类商品零售类值同比增长 (%) </v>
      </c>
      <c r="D38" t="str">
        <v>-</v>
      </c>
      <c r="E38" t="str">
        <v>0.1</v>
      </c>
      <c r="F38" t="str">
        <v>-</v>
      </c>
      <c r="G38" t="str">
        <v>-</v>
      </c>
      <c r="H38" t="str">
        <v>-11.0</v>
      </c>
      <c r="I38" t="str">
        <v>-8.0</v>
      </c>
      <c r="J38" t="str">
        <v>-5.9</v>
      </c>
      <c r="K38" t="str">
        <v>-7.1</v>
      </c>
      <c r="L38" t="str">
        <v>-8.0</v>
      </c>
      <c r="M38" t="str">
        <v>-8.3</v>
      </c>
      <c r="N38" t="str">
        <v>-7.3</v>
      </c>
      <c r="O38" t="str">
        <v>-7.0</v>
      </c>
      <c r="P38" t="str">
        <v>-5.7</v>
      </c>
      <c r="Q38" t="str">
        <v>-1.9</v>
      </c>
      <c r="R38" t="str">
        <v>-</v>
      </c>
      <c r="S38" t="str">
        <v>-</v>
      </c>
      <c r="T38" t="str">
        <v>-2.8</v>
      </c>
      <c r="U38" t="str">
        <v>-7.1</v>
      </c>
      <c r="V38" t="str">
        <v>-6.6</v>
      </c>
      <c r="W38" t="str">
        <v>-4.4</v>
      </c>
      <c r="X38" t="str">
        <v>-0.4</v>
      </c>
      <c r="Y38" t="str">
        <v>1.6</v>
      </c>
      <c r="Z38" t="str">
        <v>4.6</v>
      </c>
      <c r="AA38" t="str">
        <v>5.1</v>
      </c>
      <c r="AB38" t="str">
        <v>1.6</v>
      </c>
      <c r="AC38" t="str">
        <v>3.5</v>
      </c>
      <c r="AD38" t="str">
        <v>-</v>
      </c>
      <c r="AE38" t="str">
        <v>-</v>
      </c>
      <c r="AF38" t="str">
        <v>8.6</v>
      </c>
      <c r="AG38" t="str">
        <v>7.2</v>
      </c>
      <c r="AH38" t="str">
        <v>5.4</v>
      </c>
      <c r="AI38" t="str">
        <v>8.9</v>
      </c>
      <c r="AJ38" t="str">
        <v>6.0</v>
      </c>
      <c r="AK38" t="str">
        <v>-0.6</v>
      </c>
      <c r="AL38" t="str">
        <v>-2.2</v>
      </c>
      <c r="AM38" t="str">
        <v>4.1</v>
      </c>
    </row>
    <row r="39">
      <c r="A39">
        <v>38</v>
      </c>
      <c r="B39" t="str">
        <v>石油及制品类</v>
      </c>
      <c r="C39" t="str">
        <v xml:space="preserve">石油及制品类商品零售类值累计值 (亿元) </v>
      </c>
      <c r="D39" t="str">
        <v>-</v>
      </c>
      <c r="E39" t="str">
        <v>5616.1</v>
      </c>
      <c r="F39" t="str">
        <v>3589.6</v>
      </c>
      <c r="G39" t="str">
        <v>-</v>
      </c>
      <c r="H39" t="str">
        <v>22505.2</v>
      </c>
      <c r="I39" t="str">
        <v>20781.4</v>
      </c>
      <c r="J39" t="str">
        <v>19129.8</v>
      </c>
      <c r="K39" t="str">
        <v>17368.9</v>
      </c>
      <c r="L39" t="str">
        <v>15464.0</v>
      </c>
      <c r="M39" t="str">
        <v>13552.5</v>
      </c>
      <c r="N39" t="str">
        <v>11718.7</v>
      </c>
      <c r="O39" t="str">
        <v>9787.1</v>
      </c>
      <c r="P39" t="str">
        <v>7917.5</v>
      </c>
      <c r="Q39" t="str">
        <v>6081.7</v>
      </c>
      <c r="R39" t="str">
        <v>4018.6</v>
      </c>
      <c r="S39" t="str">
        <v>-</v>
      </c>
      <c r="T39" t="str">
        <v>24001.7</v>
      </c>
      <c r="U39" t="str">
        <v>22021.1</v>
      </c>
      <c r="V39" t="str">
        <v>20178.7</v>
      </c>
      <c r="W39" t="str">
        <v>18201.0</v>
      </c>
      <c r="X39" t="str">
        <v>16104.9</v>
      </c>
      <c r="Y39" t="str">
        <v>14041.4</v>
      </c>
      <c r="Z39" t="str">
        <v>12026.2</v>
      </c>
      <c r="AA39" t="str">
        <v>9936.9</v>
      </c>
      <c r="AB39" t="str">
        <v>7953.0</v>
      </c>
      <c r="AC39" t="str">
        <v>6046.9</v>
      </c>
      <c r="AD39" t="str">
        <v>3934.9</v>
      </c>
      <c r="AE39" t="str">
        <v>-</v>
      </c>
      <c r="AF39" t="str">
        <v>23218.5</v>
      </c>
      <c r="AG39" t="str">
        <v>21326.9</v>
      </c>
      <c r="AH39" t="str">
        <v>19469.9</v>
      </c>
      <c r="AI39" t="str">
        <v>17443.5</v>
      </c>
      <c r="AJ39" t="str">
        <v>15346.2</v>
      </c>
      <c r="AK39" t="str">
        <v>13332.9</v>
      </c>
      <c r="AL39" t="str">
        <v>11422.2</v>
      </c>
      <c r="AM39" t="str">
        <v>9473.8</v>
      </c>
    </row>
    <row r="40">
      <c r="A40">
        <v>39</v>
      </c>
      <c r="B40" t="str">
        <v>石油及制品类</v>
      </c>
      <c r="C40" t="str">
        <v xml:space="preserve">石油及制品类商品零售类值累计增长 (%) </v>
      </c>
      <c r="D40" t="str">
        <v>-</v>
      </c>
      <c r="E40" t="str">
        <v>-6.4</v>
      </c>
      <c r="F40" t="str">
        <v>-9.7</v>
      </c>
      <c r="G40" t="str">
        <v>-</v>
      </c>
      <c r="H40" t="str">
        <v>-5.7</v>
      </c>
      <c r="I40" t="str">
        <v>-5.2</v>
      </c>
      <c r="J40" t="str">
        <v>-5.0</v>
      </c>
      <c r="K40" t="str">
        <v>-4.9</v>
      </c>
      <c r="L40" t="str">
        <v>-4.6</v>
      </c>
      <c r="M40" t="str">
        <v>-4.1</v>
      </c>
      <c r="N40" t="str">
        <v>-3.4</v>
      </c>
      <c r="O40" t="str">
        <v>-2.6</v>
      </c>
      <c r="P40" t="str">
        <v>-1.4</v>
      </c>
      <c r="Q40" t="str">
        <v>-0.1</v>
      </c>
      <c r="R40" t="str">
        <v>0.9</v>
      </c>
      <c r="S40" t="str">
        <v>-</v>
      </c>
      <c r="T40" t="str">
        <v>0.3</v>
      </c>
      <c r="U40" t="str">
        <v>0.6</v>
      </c>
      <c r="V40" t="str">
        <v>1.3</v>
      </c>
      <c r="W40" t="str">
        <v>2.3</v>
      </c>
      <c r="X40" t="str">
        <v>3.2</v>
      </c>
      <c r="Y40" t="str">
        <v>3.8</v>
      </c>
      <c r="Z40" t="str">
        <v>4.1</v>
      </c>
      <c r="AA40" t="str">
        <v>4.0</v>
      </c>
      <c r="AB40" t="str">
        <v>3.8</v>
      </c>
      <c r="AC40" t="str">
        <v>4.5</v>
      </c>
      <c r="AD40" t="str">
        <v>5.0</v>
      </c>
      <c r="AE40" t="str">
        <v>-</v>
      </c>
      <c r="AF40" t="str">
        <v>6.6</v>
      </c>
      <c r="AG40" t="str">
        <v>6.5</v>
      </c>
      <c r="AH40" t="str">
        <v>6.4</v>
      </c>
      <c r="AI40" t="str">
        <v>6.5</v>
      </c>
      <c r="AJ40" t="str">
        <v>6.2</v>
      </c>
      <c r="AK40" t="str">
        <v>6.2</v>
      </c>
      <c r="AL40" t="str">
        <v>7.5</v>
      </c>
      <c r="AM40" t="str">
        <v>9.6</v>
      </c>
    </row>
    <row r="41">
      <c r="A41">
        <v>40</v>
      </c>
      <c r="B41" t="str">
        <v>石油及制品类</v>
      </c>
      <c r="C41" t="str">
        <v xml:space="preserve">石油及制品类商品零售类值当期值 (亿元) </v>
      </c>
      <c r="D41" t="str">
        <v>-</v>
      </c>
      <c r="E41" t="str">
        <v>2047.0</v>
      </c>
      <c r="F41" t="str">
        <v>-</v>
      </c>
      <c r="G41" t="str">
        <v>-</v>
      </c>
      <c r="H41" t="str">
        <v>1819.5</v>
      </c>
      <c r="I41" t="str">
        <v>1722.2</v>
      </c>
      <c r="J41" t="str">
        <v>1873.2</v>
      </c>
      <c r="K41" t="str">
        <v>1950.5</v>
      </c>
      <c r="L41" t="str">
        <v>1955.3</v>
      </c>
      <c r="M41" t="str">
        <v>1894.8</v>
      </c>
      <c r="N41" t="str">
        <v>1946.5</v>
      </c>
      <c r="O41" t="str">
        <v>1894.8</v>
      </c>
      <c r="P41" t="str">
        <v>1863.8</v>
      </c>
      <c r="Q41" t="str">
        <v>2073.4</v>
      </c>
      <c r="R41" t="str">
        <v>-</v>
      </c>
      <c r="S41" t="str">
        <v>-</v>
      </c>
      <c r="T41" t="str">
        <v>2023.9</v>
      </c>
      <c r="U41" t="str">
        <v>1852.5</v>
      </c>
      <c r="V41" t="str">
        <v>1967.7</v>
      </c>
      <c r="W41" t="str">
        <v>2073.8</v>
      </c>
      <c r="X41" t="str">
        <v>2093.5</v>
      </c>
      <c r="Y41" t="str">
        <v>2034.8</v>
      </c>
      <c r="Z41" t="str">
        <v>2074.1</v>
      </c>
      <c r="AA41" t="str">
        <v>2009.0</v>
      </c>
      <c r="AB41" t="str">
        <v>1948.7</v>
      </c>
      <c r="AC41" t="str">
        <v>2091.9</v>
      </c>
      <c r="AD41" t="str">
        <v>-</v>
      </c>
      <c r="AE41" t="str">
        <v>-</v>
      </c>
      <c r="AF41" t="str">
        <v>2033.7</v>
      </c>
      <c r="AG41" t="str">
        <v>1953.1</v>
      </c>
      <c r="AH41" t="str">
        <v>2070.3</v>
      </c>
      <c r="AI41" t="str">
        <v>2138.6</v>
      </c>
      <c r="AJ41" t="str">
        <v>2070.0</v>
      </c>
      <c r="AK41" t="str">
        <v>1973.7</v>
      </c>
      <c r="AL41" t="str">
        <v>1968.6</v>
      </c>
      <c r="AM41" t="str">
        <v>1900.0</v>
      </c>
    </row>
    <row r="42">
      <c r="A42">
        <v>41</v>
      </c>
      <c r="B42" t="str">
        <v>社会消费品零售总额</v>
      </c>
      <c r="C42" t="str">
        <v xml:space="preserve">限上单位消费品零售额同比增长 (%) </v>
      </c>
      <c r="D42" t="str">
        <v>-</v>
      </c>
      <c r="E42" t="str">
        <v>1.3</v>
      </c>
      <c r="F42" t="str">
        <v>-</v>
      </c>
      <c r="G42" t="str">
        <v>-</v>
      </c>
      <c r="H42" t="str">
        <v>-1.9</v>
      </c>
      <c r="I42" t="str">
        <v>-2.0</v>
      </c>
      <c r="J42" t="str">
        <v>1.6</v>
      </c>
      <c r="K42" t="str">
        <v>2.3</v>
      </c>
      <c r="L42" t="str">
        <v>2.4</v>
      </c>
      <c r="M42" t="str">
        <v>2.8</v>
      </c>
      <c r="N42" t="str">
        <v>5.0</v>
      </c>
      <c r="O42" t="str">
        <v>8.0</v>
      </c>
      <c r="P42" t="str">
        <v>6.3</v>
      </c>
      <c r="Q42" t="str">
        <v>8.5</v>
      </c>
      <c r="R42" t="str">
        <v>-</v>
      </c>
      <c r="S42" t="str">
        <v>-</v>
      </c>
      <c r="T42" t="str">
        <v>4.0</v>
      </c>
      <c r="U42" t="str">
        <v>1.3</v>
      </c>
      <c r="V42" t="str">
        <v>6.2</v>
      </c>
      <c r="W42" t="str">
        <v>2.6</v>
      </c>
      <c r="X42" t="str">
        <v>-0.6</v>
      </c>
      <c r="Y42" t="str">
        <v>-0.1</v>
      </c>
      <c r="Z42" t="str">
        <v>-0.6</v>
      </c>
      <c r="AA42" t="str">
        <v>3.4</v>
      </c>
      <c r="AB42" t="str">
        <v>0.9</v>
      </c>
      <c r="AC42" t="str">
        <v>2.6</v>
      </c>
      <c r="AD42" t="str">
        <v>-</v>
      </c>
      <c r="AE42" t="str">
        <v>-</v>
      </c>
      <c r="AF42" t="str">
        <v>6.6</v>
      </c>
      <c r="AG42" t="str">
        <v>10.0</v>
      </c>
      <c r="AH42" t="str">
        <v>8.7</v>
      </c>
      <c r="AI42" t="str">
        <v>5.2</v>
      </c>
      <c r="AJ42" t="str">
        <v>3.1</v>
      </c>
      <c r="AK42" t="str">
        <v>0.3</v>
      </c>
      <c r="AL42" t="str">
        <v>2.3</v>
      </c>
      <c r="AM42" t="str">
        <v>12.5</v>
      </c>
    </row>
    <row r="43">
      <c r="A43">
        <v>42</v>
      </c>
      <c r="B43" t="str">
        <v>社会消费品零售总额</v>
      </c>
      <c r="C43" t="str">
        <v xml:space="preserve">限上单位消费品零售额累计值 (亿元) </v>
      </c>
      <c r="D43" t="str">
        <v>-</v>
      </c>
      <c r="E43" t="str">
        <v>49259.7</v>
      </c>
      <c r="F43" t="str">
        <v>32217.6</v>
      </c>
      <c r="G43" t="str">
        <v>-</v>
      </c>
      <c r="H43" t="str">
        <v>201618.2</v>
      </c>
      <c r="I43" t="str">
        <v>182664.6</v>
      </c>
      <c r="J43" t="str">
        <v>164935.4</v>
      </c>
      <c r="K43" t="str">
        <v>147726.2</v>
      </c>
      <c r="L43" t="str">
        <v>130021.7</v>
      </c>
      <c r="M43" t="str">
        <v>114258.2</v>
      </c>
      <c r="N43" t="str">
        <v>99219.7</v>
      </c>
      <c r="O43" t="str">
        <v>80749.1</v>
      </c>
      <c r="P43" t="str">
        <v>64082.2</v>
      </c>
      <c r="Q43" t="str">
        <v>49216.5</v>
      </c>
      <c r="R43" t="str">
        <v>31952.5</v>
      </c>
      <c r="S43" t="str">
        <v>-</v>
      </c>
      <c r="T43" t="str">
        <v>192552.5</v>
      </c>
      <c r="U43" t="str">
        <v>173397.6</v>
      </c>
      <c r="V43" t="str">
        <v>155131.4</v>
      </c>
      <c r="W43" t="str">
        <v>137676.5</v>
      </c>
      <c r="X43" t="str">
        <v>120304.4</v>
      </c>
      <c r="Y43" t="str">
        <v>105321.1</v>
      </c>
      <c r="Z43" t="str">
        <v>91056.9</v>
      </c>
      <c r="AA43" t="str">
        <v>73858.0</v>
      </c>
      <c r="AB43" t="str">
        <v>58873.8</v>
      </c>
      <c r="AC43" t="str">
        <v>45450.8</v>
      </c>
      <c r="AD43" t="str">
        <v>29919.7</v>
      </c>
      <c r="AE43" t="str">
        <v>-</v>
      </c>
      <c r="AF43" t="str">
        <v>178563.1</v>
      </c>
      <c r="AG43" t="str">
        <v>161540.2</v>
      </c>
      <c r="AH43" t="str">
        <v>144741.9</v>
      </c>
      <c r="AI43" t="str">
        <v>129424.6</v>
      </c>
      <c r="AJ43" t="str">
        <v>113364.2</v>
      </c>
      <c r="AK43" t="str">
        <v>98981.8</v>
      </c>
      <c r="AL43" t="str">
        <v>85341.3</v>
      </c>
      <c r="AM43" t="str">
        <v>68720.6</v>
      </c>
    </row>
    <row r="44">
      <c r="A44">
        <v>43</v>
      </c>
      <c r="B44" t="str">
        <v>社会消费品零售总额</v>
      </c>
      <c r="C44" t="str">
        <v xml:space="preserve">限上单位消费品零售额累计增长 (%) </v>
      </c>
      <c r="D44" t="str">
        <v>-</v>
      </c>
      <c r="E44" t="str">
        <v>2.2</v>
      </c>
      <c r="F44" t="str">
        <v>2.7</v>
      </c>
      <c r="G44" t="str">
        <v>-</v>
      </c>
      <c r="H44" t="str">
        <v>3.3</v>
      </c>
      <c r="I44" t="str">
        <v>3.8</v>
      </c>
      <c r="J44" t="str">
        <v>4.5</v>
      </c>
      <c r="K44" t="str">
        <v>4.9</v>
      </c>
      <c r="L44" t="str">
        <v>5.2</v>
      </c>
      <c r="M44" t="str">
        <v>5.6</v>
      </c>
      <c r="N44" t="str">
        <v>6.1</v>
      </c>
      <c r="O44" t="str">
        <v>6.3</v>
      </c>
      <c r="P44" t="str">
        <v>5.9</v>
      </c>
      <c r="Q44" t="str">
        <v>5.7</v>
      </c>
      <c r="R44" t="str">
        <v>4.3</v>
      </c>
      <c r="S44" t="str">
        <v>-</v>
      </c>
      <c r="T44" t="str">
        <v>2.7</v>
      </c>
      <c r="U44" t="str">
        <v>2.6</v>
      </c>
      <c r="V44" t="str">
        <v>2.7</v>
      </c>
      <c r="W44" t="str">
        <v>2.3</v>
      </c>
      <c r="X44" t="str">
        <v>2.3</v>
      </c>
      <c r="Y44" t="str">
        <v>2.7</v>
      </c>
      <c r="Z44" t="str">
        <v>3.1</v>
      </c>
      <c r="AA44" t="str">
        <v>4.0</v>
      </c>
      <c r="AB44" t="str">
        <v>4.2</v>
      </c>
      <c r="AC44" t="str">
        <v>5.2</v>
      </c>
      <c r="AD44" t="str">
        <v>6.7</v>
      </c>
      <c r="AE44" t="str">
        <v>-</v>
      </c>
      <c r="AF44" t="str">
        <v>6.5</v>
      </c>
      <c r="AG44" t="str">
        <v>6.5</v>
      </c>
      <c r="AH44" t="str">
        <v>6.1</v>
      </c>
      <c r="AI44" t="str">
        <v>5.9</v>
      </c>
      <c r="AJ44" t="str">
        <v>5.9</v>
      </c>
      <c r="AK44" t="str">
        <v>6.4</v>
      </c>
      <c r="AL44" t="str">
        <v>7.4</v>
      </c>
      <c r="AM44" t="str">
        <v>8.7</v>
      </c>
    </row>
    <row r="45">
      <c r="A45">
        <v>44</v>
      </c>
      <c r="B45" t="str">
        <v>社会消费品零售总额</v>
      </c>
      <c r="C45" t="str">
        <v xml:space="preserve">限上单位消费品零售额当期值 (亿元) </v>
      </c>
      <c r="D45" t="str">
        <v>-</v>
      </c>
      <c r="E45" t="str">
        <v>17065.7</v>
      </c>
      <c r="F45" t="str">
        <v>-</v>
      </c>
      <c r="G45" t="str">
        <v>-</v>
      </c>
      <c r="H45" t="str">
        <v>19546.7</v>
      </c>
      <c r="I45" t="str">
        <v>17810.3</v>
      </c>
      <c r="J45" t="str">
        <v>17781.5</v>
      </c>
      <c r="K45" t="str">
        <v>17776.1</v>
      </c>
      <c r="L45" t="str">
        <v>15841.5</v>
      </c>
      <c r="M45" t="str">
        <v>15213.7</v>
      </c>
      <c r="N45" t="str">
        <v>18327.3</v>
      </c>
      <c r="O45" t="str">
        <v>16715.8</v>
      </c>
      <c r="P45" t="str">
        <v>14991.6</v>
      </c>
      <c r="Q45" t="str">
        <v>17239.0</v>
      </c>
      <c r="R45" t="str">
        <v>-</v>
      </c>
      <c r="S45" t="str">
        <v>-</v>
      </c>
      <c r="T45" t="str">
        <v>19453.4</v>
      </c>
      <c r="U45" t="str">
        <v>17748.1</v>
      </c>
      <c r="V45" t="str">
        <v>16985.5</v>
      </c>
      <c r="W45" t="str">
        <v>16901.2</v>
      </c>
      <c r="X45" t="str">
        <v>14925.5</v>
      </c>
      <c r="Y45" t="str">
        <v>14282.8</v>
      </c>
      <c r="Z45" t="str">
        <v>16994.0</v>
      </c>
      <c r="AA45" t="str">
        <v>14988.2</v>
      </c>
      <c r="AB45" t="str">
        <v>13640.9</v>
      </c>
      <c r="AC45" t="str">
        <v>15535.1</v>
      </c>
      <c r="AD45" t="str">
        <v>-</v>
      </c>
      <c r="AE45" t="str">
        <v>-</v>
      </c>
      <c r="AF45" t="str">
        <v>17885.4</v>
      </c>
      <c r="AG45" t="str">
        <v>16857.8</v>
      </c>
      <c r="AH45" t="str">
        <v>15362.6</v>
      </c>
      <c r="AI45" t="str">
        <v>15890.3</v>
      </c>
      <c r="AJ45" t="str">
        <v>14460.8</v>
      </c>
      <c r="AK45" t="str">
        <v>13762.0</v>
      </c>
      <c r="AL45" t="str">
        <v>16658.3</v>
      </c>
      <c r="AM45" t="str">
        <v>14033.4</v>
      </c>
    </row>
    <row r="46">
      <c r="A46">
        <v>45</v>
      </c>
      <c r="B46" t="str">
        <v>社会消费品零售总额</v>
      </c>
      <c r="C46" t="str">
        <v xml:space="preserve">社会消费品零售总额同比增长 (%) </v>
      </c>
      <c r="D46" t="str">
        <v>-</v>
      </c>
      <c r="E46" t="str">
        <v>1.7</v>
      </c>
      <c r="F46" t="str">
        <v>-</v>
      </c>
      <c r="G46" t="str">
        <v>-</v>
      </c>
      <c r="H46" t="str">
        <v>0.9</v>
      </c>
      <c r="I46" t="str">
        <v>1.3</v>
      </c>
      <c r="J46" t="str">
        <v>2.9</v>
      </c>
      <c r="K46" t="str">
        <v>3.0</v>
      </c>
      <c r="L46" t="str">
        <v>3.4</v>
      </c>
      <c r="M46" t="str">
        <v>3.7</v>
      </c>
      <c r="N46" t="str">
        <v>4.8</v>
      </c>
      <c r="O46" t="str">
        <v>6.4</v>
      </c>
      <c r="P46" t="str">
        <v>5.1</v>
      </c>
      <c r="Q46" t="str">
        <v>5.9</v>
      </c>
      <c r="R46" t="str">
        <v>-</v>
      </c>
      <c r="S46" t="str">
        <v>-</v>
      </c>
      <c r="T46" t="str">
        <v>3.7</v>
      </c>
      <c r="U46" t="str">
        <v>3.0</v>
      </c>
      <c r="V46" t="str">
        <v>4.8</v>
      </c>
      <c r="W46" t="str">
        <v>3.2</v>
      </c>
      <c r="X46" t="str">
        <v>2.1</v>
      </c>
      <c r="Y46" t="str">
        <v>2.7</v>
      </c>
      <c r="Z46" t="str">
        <v>2.0</v>
      </c>
      <c r="AA46" t="str">
        <v>3.7</v>
      </c>
      <c r="AB46" t="str">
        <v>2.3</v>
      </c>
      <c r="AC46" t="str">
        <v>3.1</v>
      </c>
      <c r="AD46" t="str">
        <v>-</v>
      </c>
      <c r="AE46" t="str">
        <v>-</v>
      </c>
      <c r="AF46" t="str">
        <v>7.4</v>
      </c>
      <c r="AG46" t="str">
        <v>10.1</v>
      </c>
      <c r="AH46" t="str">
        <v>7.6</v>
      </c>
      <c r="AI46" t="str">
        <v>5.5</v>
      </c>
      <c r="AJ46" t="str">
        <v>4.6</v>
      </c>
      <c r="AK46" t="str">
        <v>2.5</v>
      </c>
      <c r="AL46" t="str">
        <v>3.1</v>
      </c>
      <c r="AM46" t="str">
        <v>12.7</v>
      </c>
    </row>
    <row r="47">
      <c r="A47">
        <v>46</v>
      </c>
      <c r="B47" t="str">
        <v>社会消费品零售总额</v>
      </c>
      <c r="C47" t="str">
        <v xml:space="preserve">社会消费品零售总额累计值 (亿元) </v>
      </c>
      <c r="D47" t="str">
        <v>-</v>
      </c>
      <c r="E47" t="str">
        <v>127694.9</v>
      </c>
      <c r="F47" t="str">
        <v>86078.9</v>
      </c>
      <c r="G47" t="str">
        <v>-</v>
      </c>
      <c r="H47" t="str">
        <v>501202.4</v>
      </c>
      <c r="I47" t="str">
        <v>456066.6</v>
      </c>
      <c r="J47" t="str">
        <v>412168.5</v>
      </c>
      <c r="K47" t="str">
        <v>365877.2</v>
      </c>
      <c r="L47" t="str">
        <v>323906.2</v>
      </c>
      <c r="M47" t="str">
        <v>284238.5</v>
      </c>
      <c r="N47" t="str">
        <v>245458.4</v>
      </c>
      <c r="O47" t="str">
        <v>203171.0</v>
      </c>
      <c r="P47" t="str">
        <v>161845.2</v>
      </c>
      <c r="Q47" t="str">
        <v>124671.1</v>
      </c>
      <c r="R47" t="str">
        <v>83730.6</v>
      </c>
      <c r="S47" t="str">
        <v>-</v>
      </c>
      <c r="T47" t="str">
        <v>487894.8</v>
      </c>
      <c r="U47" t="str">
        <v>442723.3</v>
      </c>
      <c r="V47" t="str">
        <v>398960.3</v>
      </c>
      <c r="W47" t="str">
        <v>353564.0</v>
      </c>
      <c r="X47" t="str">
        <v>312451.7</v>
      </c>
      <c r="Y47" t="str">
        <v>273725.9</v>
      </c>
      <c r="Z47" t="str">
        <v>235969.0</v>
      </c>
      <c r="AA47" t="str">
        <v>195236.9</v>
      </c>
      <c r="AB47" t="str">
        <v>156025.8</v>
      </c>
      <c r="AC47" t="str">
        <v>120326.8</v>
      </c>
      <c r="AD47" t="str">
        <v>81306.9</v>
      </c>
      <c r="AE47" t="str">
        <v>-</v>
      </c>
      <c r="AF47" t="str">
        <v>471495.2</v>
      </c>
      <c r="AG47" t="str">
        <v>427945.0</v>
      </c>
      <c r="AH47" t="str">
        <v>385440.0</v>
      </c>
      <c r="AI47" t="str">
        <v>342107.0</v>
      </c>
      <c r="AJ47" t="str">
        <v>302281.0</v>
      </c>
      <c r="AK47" t="str">
        <v>264348.4</v>
      </c>
      <c r="AL47" t="str">
        <v>227587.6</v>
      </c>
      <c r="AM47" t="str">
        <v>187636.3</v>
      </c>
    </row>
    <row r="48">
      <c r="A48">
        <v>47</v>
      </c>
      <c r="B48" t="str">
        <v>社会消费品零售总额</v>
      </c>
      <c r="C48" t="str">
        <v xml:space="preserve">社会消费品零售总额累计增长 (%) </v>
      </c>
      <c r="D48" t="str">
        <v>-</v>
      </c>
      <c r="E48" t="str">
        <v>2.4</v>
      </c>
      <c r="F48" t="str">
        <v>2.8</v>
      </c>
      <c r="G48" t="str">
        <v>-</v>
      </c>
      <c r="H48" t="str">
        <v>3.7</v>
      </c>
      <c r="I48" t="str">
        <v>4.0</v>
      </c>
      <c r="J48" t="str">
        <v>4.3</v>
      </c>
      <c r="K48" t="str">
        <v>4.5</v>
      </c>
      <c r="L48" t="str">
        <v>4.6</v>
      </c>
      <c r="M48" t="str">
        <v>4.8</v>
      </c>
      <c r="N48" t="str">
        <v>5.0</v>
      </c>
      <c r="O48" t="str">
        <v>5.0</v>
      </c>
      <c r="P48" t="str">
        <v>4.7</v>
      </c>
      <c r="Q48" t="str">
        <v>4.6</v>
      </c>
      <c r="R48" t="str">
        <v>4.0</v>
      </c>
      <c r="S48" t="str">
        <v>-</v>
      </c>
      <c r="T48" t="str">
        <v>3.5</v>
      </c>
      <c r="U48" t="str">
        <v>3.5</v>
      </c>
      <c r="V48" t="str">
        <v>3.5</v>
      </c>
      <c r="W48" t="str">
        <v>3.3</v>
      </c>
      <c r="X48" t="str">
        <v>3.4</v>
      </c>
      <c r="Y48" t="str">
        <v>3.5</v>
      </c>
      <c r="Z48" t="str">
        <v>3.7</v>
      </c>
      <c r="AA48" t="str">
        <v>4.1</v>
      </c>
      <c r="AB48" t="str">
        <v>4.1</v>
      </c>
      <c r="AC48" t="str">
        <v>4.7</v>
      </c>
      <c r="AD48" t="str">
        <v>5.5</v>
      </c>
      <c r="AE48" t="str">
        <v>-</v>
      </c>
      <c r="AF48" t="str">
        <v>7.2</v>
      </c>
      <c r="AG48" t="str">
        <v>7.2</v>
      </c>
      <c r="AH48" t="str">
        <v>6.9</v>
      </c>
      <c r="AI48" t="str">
        <v>6.8</v>
      </c>
      <c r="AJ48" t="str">
        <v>7.0</v>
      </c>
      <c r="AK48" t="str">
        <v>7.3</v>
      </c>
      <c r="AL48" t="str">
        <v>8.2</v>
      </c>
      <c r="AM48" t="str">
        <v>9.3</v>
      </c>
    </row>
    <row r="49">
      <c r="A49">
        <v>48</v>
      </c>
      <c r="B49" t="str">
        <v>社会消费品零售总额</v>
      </c>
      <c r="C49" t="str">
        <v xml:space="preserve">社会消费品零售总额当期值 (亿元) </v>
      </c>
      <c r="D49" t="str">
        <v>-</v>
      </c>
      <c r="E49" t="str">
        <v>41616.0</v>
      </c>
      <c r="F49" t="str">
        <v>-</v>
      </c>
      <c r="G49" t="str">
        <v>-</v>
      </c>
      <c r="H49" t="str">
        <v>45135.9</v>
      </c>
      <c r="I49" t="str">
        <v>43898.0</v>
      </c>
      <c r="J49" t="str">
        <v>46291.3</v>
      </c>
      <c r="K49" t="str">
        <v>41971.0</v>
      </c>
      <c r="L49" t="str">
        <v>39667.6</v>
      </c>
      <c r="M49" t="str">
        <v>38780.2</v>
      </c>
      <c r="N49" t="str">
        <v>42287.4</v>
      </c>
      <c r="O49" t="str">
        <v>41325.8</v>
      </c>
      <c r="P49" t="str">
        <v>37174.1</v>
      </c>
      <c r="Q49" t="str">
        <v>40940.5</v>
      </c>
      <c r="R49" t="str">
        <v>-</v>
      </c>
      <c r="S49" t="str">
        <v>-</v>
      </c>
      <c r="T49" t="str">
        <v>45171.5</v>
      </c>
      <c r="U49" t="str">
        <v>43763.0</v>
      </c>
      <c r="V49" t="str">
        <v>45396.4</v>
      </c>
      <c r="W49" t="str">
        <v>41112.3</v>
      </c>
      <c r="X49" t="str">
        <v>38725.8</v>
      </c>
      <c r="Y49" t="str">
        <v>37757.4</v>
      </c>
      <c r="Z49" t="str">
        <v>40731.6</v>
      </c>
      <c r="AA49" t="str">
        <v>39211.0</v>
      </c>
      <c r="AB49" t="str">
        <v>35699.1</v>
      </c>
      <c r="AC49" t="str">
        <v>39019.9</v>
      </c>
      <c r="AD49" t="str">
        <v>-</v>
      </c>
      <c r="AE49" t="str">
        <v>-</v>
      </c>
      <c r="AF49" t="str">
        <v>43550.2</v>
      </c>
      <c r="AG49" t="str">
        <v>42505.0</v>
      </c>
      <c r="AH49" t="str">
        <v>43333.0</v>
      </c>
      <c r="AI49" t="str">
        <v>39826.0</v>
      </c>
      <c r="AJ49" t="str">
        <v>37932.7</v>
      </c>
      <c r="AK49" t="str">
        <v>36760.7</v>
      </c>
      <c r="AL49" t="str">
        <v>39951.4</v>
      </c>
      <c r="AM49" t="str">
        <v>37803.3</v>
      </c>
    </row>
    <row r="50">
      <c r="A50">
        <v>49</v>
      </c>
      <c r="B50" t="str">
        <v>日用品类</v>
      </c>
      <c r="C50" t="str">
        <v xml:space="preserve">日用品类商品零售类值同比增长 (%) </v>
      </c>
      <c r="D50" t="str">
        <v>-</v>
      </c>
      <c r="E50" t="str">
        <v>4.6</v>
      </c>
      <c r="F50" t="str">
        <v>-</v>
      </c>
      <c r="G50" t="str">
        <v>-</v>
      </c>
      <c r="H50" t="str">
        <v>3.7</v>
      </c>
      <c r="I50" t="str">
        <v>-0.8</v>
      </c>
      <c r="J50" t="str">
        <v>7.4</v>
      </c>
      <c r="K50" t="str">
        <v>6.8</v>
      </c>
      <c r="L50" t="str">
        <v>7.7</v>
      </c>
      <c r="M50" t="str">
        <v>8.2</v>
      </c>
      <c r="N50" t="str">
        <v>7.8</v>
      </c>
      <c r="O50" t="str">
        <v>8.0</v>
      </c>
      <c r="P50" t="str">
        <v>7.6</v>
      </c>
      <c r="Q50" t="str">
        <v>8.8</v>
      </c>
      <c r="R50" t="str">
        <v>-</v>
      </c>
      <c r="S50" t="str">
        <v>-</v>
      </c>
      <c r="T50" t="str">
        <v>6.3</v>
      </c>
      <c r="U50" t="str">
        <v>1.3</v>
      </c>
      <c r="V50" t="str">
        <v>8.5</v>
      </c>
      <c r="W50" t="str">
        <v>3.0</v>
      </c>
      <c r="X50" t="str">
        <v>1.3</v>
      </c>
      <c r="Y50" t="str">
        <v>2.1</v>
      </c>
      <c r="Z50" t="str">
        <v>0.3</v>
      </c>
      <c r="AA50" t="str">
        <v>7.7</v>
      </c>
      <c r="AB50" t="str">
        <v>4.4</v>
      </c>
      <c r="AC50" t="str">
        <v>3.5</v>
      </c>
      <c r="AD50" t="str">
        <v>-</v>
      </c>
      <c r="AE50" t="str">
        <v>-</v>
      </c>
      <c r="AF50" t="str">
        <v>-5.9</v>
      </c>
      <c r="AG50" t="str">
        <v>3.5</v>
      </c>
      <c r="AH50" t="str">
        <v>4.4</v>
      </c>
      <c r="AI50" t="str">
        <v>0.7</v>
      </c>
      <c r="AJ50" t="str">
        <v>1.5</v>
      </c>
      <c r="AK50" t="str">
        <v>-1.0</v>
      </c>
      <c r="AL50" t="str">
        <v>-2.2</v>
      </c>
      <c r="AM50" t="str">
        <v>9.4</v>
      </c>
    </row>
    <row r="51">
      <c r="A51">
        <v>50</v>
      </c>
      <c r="B51" t="str">
        <v>日用品类</v>
      </c>
      <c r="C51" t="str">
        <v xml:space="preserve">日用品类商品零售类值累计值 (亿元) </v>
      </c>
      <c r="D51" t="str">
        <v>-</v>
      </c>
      <c r="E51" t="str">
        <v>2191.0</v>
      </c>
      <c r="F51" t="str">
        <v>1436.9</v>
      </c>
      <c r="G51" t="str">
        <v>-</v>
      </c>
      <c r="H51" t="str">
        <v>8675.4</v>
      </c>
      <c r="I51" t="str">
        <v>7921.6</v>
      </c>
      <c r="J51" t="str">
        <v>7162.5</v>
      </c>
      <c r="K51" t="str">
        <v>6407.9</v>
      </c>
      <c r="L51" t="str">
        <v>5685.2</v>
      </c>
      <c r="M51" t="str">
        <v>4963.0</v>
      </c>
      <c r="N51" t="str">
        <v>4314.8</v>
      </c>
      <c r="O51" t="str">
        <v>3507.3</v>
      </c>
      <c r="P51" t="str">
        <v>2767.0</v>
      </c>
      <c r="Q51" t="str">
        <v>2129.3</v>
      </c>
      <c r="R51" t="str">
        <v>1385.7</v>
      </c>
      <c r="S51" t="str">
        <v>-</v>
      </c>
      <c r="T51" t="str">
        <v>8091.2</v>
      </c>
      <c r="U51" t="str">
        <v>7351.7</v>
      </c>
      <c r="V51" t="str">
        <v>6556.3</v>
      </c>
      <c r="W51" t="str">
        <v>5847.9</v>
      </c>
      <c r="X51" t="str">
        <v>5166.7</v>
      </c>
      <c r="Y51" t="str">
        <v>4515.1</v>
      </c>
      <c r="Z51" t="str">
        <v>3923.2</v>
      </c>
      <c r="AA51" t="str">
        <v>3196.6</v>
      </c>
      <c r="AB51" t="str">
        <v>2521.1</v>
      </c>
      <c r="AC51" t="str">
        <v>1950.7</v>
      </c>
      <c r="AD51" t="str">
        <v>1283.2</v>
      </c>
      <c r="AE51" t="str">
        <v>-</v>
      </c>
      <c r="AF51" t="str">
        <v>7576.3</v>
      </c>
      <c r="AG51" t="str">
        <v>6923.2</v>
      </c>
      <c r="AH51" t="str">
        <v>6168.2</v>
      </c>
      <c r="AI51" t="str">
        <v>5569.2</v>
      </c>
      <c r="AJ51" t="str">
        <v>4921.9</v>
      </c>
      <c r="AK51" t="str">
        <v>4305.3</v>
      </c>
      <c r="AL51" t="str">
        <v>3747.9</v>
      </c>
      <c r="AM51" t="str">
        <v>3031.9</v>
      </c>
    </row>
    <row r="52">
      <c r="A52">
        <v>51</v>
      </c>
      <c r="B52" t="str">
        <v>日用品类</v>
      </c>
      <c r="C52" t="str">
        <v xml:space="preserve">日用品类商品零售类值累计增长 (%) </v>
      </c>
      <c r="D52" t="str">
        <v>-</v>
      </c>
      <c r="E52" t="str">
        <v>5.9</v>
      </c>
      <c r="F52" t="str">
        <v>6.6</v>
      </c>
      <c r="G52" t="str">
        <v>-</v>
      </c>
      <c r="H52" t="str">
        <v>6.3</v>
      </c>
      <c r="I52" t="str">
        <v>6.5</v>
      </c>
      <c r="J52" t="str">
        <v>7.4</v>
      </c>
      <c r="K52" t="str">
        <v>7.4</v>
      </c>
      <c r="L52" t="str">
        <v>7.4</v>
      </c>
      <c r="M52" t="str">
        <v>7.4</v>
      </c>
      <c r="N52" t="str">
        <v>7.3</v>
      </c>
      <c r="O52" t="str">
        <v>7.2</v>
      </c>
      <c r="P52" t="str">
        <v>7.0</v>
      </c>
      <c r="Q52" t="str">
        <v>6.8</v>
      </c>
      <c r="R52" t="str">
        <v>5.7</v>
      </c>
      <c r="S52" t="str">
        <v>-</v>
      </c>
      <c r="T52" t="str">
        <v>3.0</v>
      </c>
      <c r="U52" t="str">
        <v>2.7</v>
      </c>
      <c r="V52" t="str">
        <v>2.9</v>
      </c>
      <c r="W52" t="str">
        <v>2.2</v>
      </c>
      <c r="X52" t="str">
        <v>2.2</v>
      </c>
      <c r="Y52" t="str">
        <v>2.3</v>
      </c>
      <c r="Z52" t="str">
        <v>2.3</v>
      </c>
      <c r="AA52" t="str">
        <v>2.7</v>
      </c>
      <c r="AB52" t="str">
        <v>1.5</v>
      </c>
      <c r="AC52" t="str">
        <v>0.7</v>
      </c>
      <c r="AD52" t="str">
        <v>-0.7</v>
      </c>
      <c r="AE52" t="str">
        <v>-</v>
      </c>
      <c r="AF52" t="str">
        <v>2.7</v>
      </c>
      <c r="AG52" t="str">
        <v>3.6</v>
      </c>
      <c r="AH52" t="str">
        <v>3.6</v>
      </c>
      <c r="AI52" t="str">
        <v>3.5</v>
      </c>
      <c r="AJ52" t="str">
        <v>3.9</v>
      </c>
      <c r="AK52" t="str">
        <v>4.2</v>
      </c>
      <c r="AL52" t="str">
        <v>5.0</v>
      </c>
      <c r="AM52" t="str">
        <v>6.8</v>
      </c>
    </row>
    <row r="53">
      <c r="A53">
        <v>52</v>
      </c>
      <c r="B53" t="str">
        <v>日用品类</v>
      </c>
      <c r="C53" t="str">
        <v xml:space="preserve">日用品类商品零售类值当期值 (亿元) </v>
      </c>
      <c r="D53" t="str">
        <v>-</v>
      </c>
      <c r="E53" t="str">
        <v>750.5</v>
      </c>
      <c r="F53" t="str">
        <v>-</v>
      </c>
      <c r="G53" t="str">
        <v>-</v>
      </c>
      <c r="H53" t="str">
        <v>775.8</v>
      </c>
      <c r="I53" t="str">
        <v>763.4</v>
      </c>
      <c r="J53" t="str">
        <v>763.9</v>
      </c>
      <c r="K53" t="str">
        <v>732.3</v>
      </c>
      <c r="L53" t="str">
        <v>712.9</v>
      </c>
      <c r="M53" t="str">
        <v>664.9</v>
      </c>
      <c r="N53" t="str">
        <v>793.5</v>
      </c>
      <c r="O53" t="str">
        <v>741.3</v>
      </c>
      <c r="P53" t="str">
        <v>644.3</v>
      </c>
      <c r="Q53" t="str">
        <v>741.2</v>
      </c>
      <c r="R53" t="str">
        <v>-</v>
      </c>
      <c r="S53" t="str">
        <v>-</v>
      </c>
      <c r="T53" t="str">
        <v>737.9</v>
      </c>
      <c r="U53" t="str">
        <v>757.7</v>
      </c>
      <c r="V53" t="str">
        <v>692.0</v>
      </c>
      <c r="W53" t="str">
        <v>669.4</v>
      </c>
      <c r="X53" t="str">
        <v>639.2</v>
      </c>
      <c r="Y53" t="str">
        <v>593.7</v>
      </c>
      <c r="Z53" t="str">
        <v>716.5</v>
      </c>
      <c r="AA53" t="str">
        <v>669.2</v>
      </c>
      <c r="AB53" t="str">
        <v>580.8</v>
      </c>
      <c r="AC53" t="str">
        <v>666.3</v>
      </c>
      <c r="AD53" t="str">
        <v>-</v>
      </c>
      <c r="AE53" t="str">
        <v>-</v>
      </c>
      <c r="AF53" t="str">
        <v>669.7</v>
      </c>
      <c r="AG53" t="str">
        <v>748.9</v>
      </c>
      <c r="AH53" t="str">
        <v>615.2</v>
      </c>
      <c r="AI53" t="str">
        <v>633.5</v>
      </c>
      <c r="AJ53" t="str">
        <v>615.6</v>
      </c>
      <c r="AK53" t="str">
        <v>566.0</v>
      </c>
      <c r="AL53" t="str">
        <v>714.7</v>
      </c>
      <c r="AM53" t="str">
        <v>608.5</v>
      </c>
    </row>
    <row r="54">
      <c r="A54">
        <v>53</v>
      </c>
      <c r="B54" t="str">
        <v>汽车类</v>
      </c>
      <c r="C54" t="str">
        <v xml:space="preserve">汽车类商品零售类值同比增长 (%) </v>
      </c>
      <c r="D54" t="str">
        <v>-</v>
      </c>
      <c r="E54" t="str">
        <v>-11.8</v>
      </c>
      <c r="F54" t="str">
        <v>-</v>
      </c>
      <c r="G54" t="str">
        <v>-</v>
      </c>
      <c r="H54" t="str">
        <v>-5.0</v>
      </c>
      <c r="I54" t="str">
        <v>-8.3</v>
      </c>
      <c r="J54" t="str">
        <v>-6.6</v>
      </c>
      <c r="K54" t="str">
        <v>1.6</v>
      </c>
      <c r="L54" t="str">
        <v>0.8</v>
      </c>
      <c r="M54" t="str">
        <v>-1.5</v>
      </c>
      <c r="N54" t="str">
        <v>4.6</v>
      </c>
      <c r="O54" t="str">
        <v>1.1</v>
      </c>
      <c r="P54" t="str">
        <v>0.7</v>
      </c>
      <c r="Q54" t="str">
        <v>5.5</v>
      </c>
      <c r="R54" t="str">
        <v>-</v>
      </c>
      <c r="S54" t="str">
        <v>-</v>
      </c>
      <c r="T54" t="str">
        <v>0.5</v>
      </c>
      <c r="U54" t="str">
        <v>6.6</v>
      </c>
      <c r="V54" t="str">
        <v>3.7</v>
      </c>
      <c r="W54" t="str">
        <v>0.4</v>
      </c>
      <c r="X54" t="str">
        <v>-7.3</v>
      </c>
      <c r="Y54" t="str">
        <v>-4.9</v>
      </c>
      <c r="Z54" t="str">
        <v>-6.2</v>
      </c>
      <c r="AA54" t="str">
        <v>-4.4</v>
      </c>
      <c r="AB54" t="str">
        <v>-5.6</v>
      </c>
      <c r="AC54" t="str">
        <v>-3.7</v>
      </c>
      <c r="AD54" t="str">
        <v>-</v>
      </c>
      <c r="AE54" t="str">
        <v>-</v>
      </c>
      <c r="AF54" t="str">
        <v>4.0</v>
      </c>
      <c r="AG54" t="str">
        <v>14.7</v>
      </c>
      <c r="AH54" t="str">
        <v>11.4</v>
      </c>
      <c r="AI54" t="str">
        <v>2.8</v>
      </c>
      <c r="AJ54" t="str">
        <v>1.1</v>
      </c>
      <c r="AK54" t="str">
        <v>-1.5</v>
      </c>
      <c r="AL54" t="str">
        <v>-1.1</v>
      </c>
      <c r="AM54" t="str">
        <v>24.2</v>
      </c>
    </row>
    <row r="55">
      <c r="A55">
        <v>54</v>
      </c>
      <c r="B55" t="str">
        <v>汽车类</v>
      </c>
      <c r="C55" t="str">
        <v xml:space="preserve">汽车类商品零售类值累计值 (亿元) </v>
      </c>
      <c r="D55" t="str">
        <v>-</v>
      </c>
      <c r="E55" t="str">
        <v>9968.3</v>
      </c>
      <c r="F55" t="str">
        <v>6251.5</v>
      </c>
      <c r="G55" t="str">
        <v>-</v>
      </c>
      <c r="H55" t="str">
        <v>49789.2</v>
      </c>
      <c r="I55" t="str">
        <v>44430.0</v>
      </c>
      <c r="J55" t="str">
        <v>40009.0</v>
      </c>
      <c r="K55" t="str">
        <v>35923.2</v>
      </c>
      <c r="L55" t="str">
        <v>31263.3</v>
      </c>
      <c r="M55" t="str">
        <v>27224.0</v>
      </c>
      <c r="N55" t="str">
        <v>23468.3</v>
      </c>
      <c r="O55" t="str">
        <v>18847.1</v>
      </c>
      <c r="P55" t="str">
        <v>14839.9</v>
      </c>
      <c r="Q55" t="str">
        <v>11236.8</v>
      </c>
      <c r="R55" t="str">
        <v>6892.7</v>
      </c>
      <c r="S55" t="str">
        <v>-</v>
      </c>
      <c r="T55" t="str">
        <v>50313.5</v>
      </c>
      <c r="U55" t="str">
        <v>44763.2</v>
      </c>
      <c r="V55" t="str">
        <v>39921.1</v>
      </c>
      <c r="W55" t="str">
        <v>35361.1</v>
      </c>
      <c r="X55" t="str">
        <v>30679.9</v>
      </c>
      <c r="Y55" t="str">
        <v>26735.8</v>
      </c>
      <c r="Z55" t="str">
        <v>22961.8</v>
      </c>
      <c r="AA55" t="str">
        <v>18529.7</v>
      </c>
      <c r="AB55" t="str">
        <v>14629.9</v>
      </c>
      <c r="AC55" t="str">
        <v>11163.3</v>
      </c>
      <c r="AD55" t="str">
        <v>7112.4</v>
      </c>
      <c r="AE55" t="str">
        <v>-</v>
      </c>
      <c r="AF55" t="str">
        <v>48614.0</v>
      </c>
      <c r="AG55" t="str">
        <v>43279.9</v>
      </c>
      <c r="AH55" t="str">
        <v>38968.4</v>
      </c>
      <c r="AI55" t="str">
        <v>34837.2</v>
      </c>
      <c r="AJ55" t="str">
        <v>30392.6</v>
      </c>
      <c r="AK55" t="str">
        <v>26265.3</v>
      </c>
      <c r="AL55" t="str">
        <v>22409.3</v>
      </c>
      <c r="AM55" t="str">
        <v>17893.0</v>
      </c>
    </row>
    <row r="56">
      <c r="A56">
        <v>55</v>
      </c>
      <c r="B56" t="str">
        <v>汽车类</v>
      </c>
      <c r="C56" t="str">
        <v xml:space="preserve">汽车类商品零售类值累计增长 (%) </v>
      </c>
      <c r="D56" t="str">
        <v>-</v>
      </c>
      <c r="E56" t="str">
        <v>-9.1</v>
      </c>
      <c r="F56" t="str">
        <v>-7.3</v>
      </c>
      <c r="G56" t="str">
        <v>-</v>
      </c>
      <c r="H56" t="str">
        <v>-1.5</v>
      </c>
      <c r="I56" t="str">
        <v>-1.0</v>
      </c>
      <c r="J56" t="str">
        <v>-0.2</v>
      </c>
      <c r="K56" t="str">
        <v>0.6</v>
      </c>
      <c r="L56" t="str">
        <v>0.5</v>
      </c>
      <c r="M56" t="str">
        <v>0.4</v>
      </c>
      <c r="N56" t="str">
        <v>0.8</v>
      </c>
      <c r="O56" t="str">
        <v>-0.1</v>
      </c>
      <c r="P56" t="str">
        <v>-0.5</v>
      </c>
      <c r="Q56" t="str">
        <v>-0.8</v>
      </c>
      <c r="R56" t="str">
        <v>-4.4</v>
      </c>
      <c r="S56" t="str">
        <v>-</v>
      </c>
      <c r="T56" t="str">
        <v>-0.5</v>
      </c>
      <c r="U56" t="str">
        <v>-0.7</v>
      </c>
      <c r="V56" t="str">
        <v>-1.5</v>
      </c>
      <c r="W56" t="str">
        <v>-2.1</v>
      </c>
      <c r="X56" t="str">
        <v>-2.4</v>
      </c>
      <c r="Y56" t="str">
        <v>-1.7</v>
      </c>
      <c r="Z56" t="str">
        <v>-1.1</v>
      </c>
      <c r="AA56" t="str">
        <v>0.2</v>
      </c>
      <c r="AB56" t="str">
        <v>1.4</v>
      </c>
      <c r="AC56" t="str">
        <v>3.8</v>
      </c>
      <c r="AD56" t="str">
        <v>8.7</v>
      </c>
      <c r="AE56" t="str">
        <v>-</v>
      </c>
      <c r="AF56" t="str">
        <v>5.9</v>
      </c>
      <c r="AG56" t="str">
        <v>6.2</v>
      </c>
      <c r="AH56" t="str">
        <v>5.3</v>
      </c>
      <c r="AI56" t="str">
        <v>4.6</v>
      </c>
      <c r="AJ56" t="str">
        <v>4.9</v>
      </c>
      <c r="AK56" t="str">
        <v>5.5</v>
      </c>
      <c r="AL56" t="str">
        <v>6.8</v>
      </c>
      <c r="AM56" t="str">
        <v>8.9</v>
      </c>
    </row>
    <row r="57">
      <c r="A57">
        <v>56</v>
      </c>
      <c r="B57" t="str">
        <v>汽车类</v>
      </c>
      <c r="C57" t="str">
        <v xml:space="preserve">汽车类商品零售类值当期值 (亿元) </v>
      </c>
      <c r="D57" t="str">
        <v>-</v>
      </c>
      <c r="E57" t="str">
        <v>3740.9</v>
      </c>
      <c r="F57" t="str">
        <v>-</v>
      </c>
      <c r="G57" t="str">
        <v>-</v>
      </c>
      <c r="H57" t="str">
        <v>5481.6</v>
      </c>
      <c r="I57" t="str">
        <v>4454.5</v>
      </c>
      <c r="J57" t="str">
        <v>4255.2</v>
      </c>
      <c r="K57" t="str">
        <v>4711.3</v>
      </c>
      <c r="L57" t="str">
        <v>4093.1</v>
      </c>
      <c r="M57" t="str">
        <v>3849.0</v>
      </c>
      <c r="N57" t="str">
        <v>4638.0</v>
      </c>
      <c r="O57" t="str">
        <v>4009.7</v>
      </c>
      <c r="P57" t="str">
        <v>3626.2</v>
      </c>
      <c r="Q57" t="str">
        <v>4330.1</v>
      </c>
      <c r="R57" t="str">
        <v>-</v>
      </c>
      <c r="S57" t="str">
        <v>-</v>
      </c>
      <c r="T57" t="str">
        <v>5662.5</v>
      </c>
      <c r="U57" t="str">
        <v>4764.8</v>
      </c>
      <c r="V57" t="str">
        <v>4452.4</v>
      </c>
      <c r="W57" t="str">
        <v>4538.9</v>
      </c>
      <c r="X57" t="str">
        <v>3943.0</v>
      </c>
      <c r="Y57" t="str">
        <v>3798.5</v>
      </c>
      <c r="Z57" t="str">
        <v>4367.4</v>
      </c>
      <c r="AA57" t="str">
        <v>3874.6</v>
      </c>
      <c r="AB57" t="str">
        <v>3503.3</v>
      </c>
      <c r="AC57" t="str">
        <v>4051.7</v>
      </c>
      <c r="AD57" t="str">
        <v>-</v>
      </c>
      <c r="AE57" t="str">
        <v>-</v>
      </c>
      <c r="AF57" t="str">
        <v>5419.7</v>
      </c>
      <c r="AG57" t="str">
        <v>4314.4</v>
      </c>
      <c r="AH57" t="str">
        <v>4135.1</v>
      </c>
      <c r="AI57" t="str">
        <v>4382.5</v>
      </c>
      <c r="AJ57" t="str">
        <v>4112.3</v>
      </c>
      <c r="AK57" t="str">
        <v>3854.6</v>
      </c>
      <c r="AL57" t="str">
        <v>4525.9</v>
      </c>
      <c r="AM57" t="str">
        <v>3927.9</v>
      </c>
    </row>
    <row r="58">
      <c r="A58">
        <v>57</v>
      </c>
      <c r="B58" t="str">
        <v>其他</v>
      </c>
      <c r="C58" t="str">
        <v xml:space="preserve">其他商品零售类值同比增长 (%) </v>
      </c>
      <c r="D58" t="str">
        <v>-</v>
      </c>
      <c r="E58" t="str">
        <v>5.7</v>
      </c>
      <c r="F58" t="str">
        <v>-</v>
      </c>
      <c r="G58" t="str">
        <v>-</v>
      </c>
      <c r="H58" t="str">
        <v>-0.9</v>
      </c>
      <c r="I58" t="str">
        <v>-0.8</v>
      </c>
      <c r="J58" t="str">
        <v>0.8</v>
      </c>
      <c r="K58" t="str">
        <v>0.3</v>
      </c>
      <c r="L58" t="str">
        <v>-0.4</v>
      </c>
      <c r="M58" t="str">
        <v>1.8</v>
      </c>
      <c r="N58" t="str">
        <v>-2.3</v>
      </c>
      <c r="O58" t="str">
        <v>4.1</v>
      </c>
      <c r="P58" t="str">
        <v>5.8</v>
      </c>
      <c r="Q58" t="str">
        <v>11.7</v>
      </c>
      <c r="R58" t="str">
        <v>-</v>
      </c>
      <c r="S58" t="str">
        <v>-</v>
      </c>
      <c r="T58" t="str">
        <v>8.0</v>
      </c>
      <c r="U58" t="str">
        <v>2.7</v>
      </c>
      <c r="V58" t="str">
        <v>9.7</v>
      </c>
      <c r="W58" t="str">
        <v>6.9</v>
      </c>
      <c r="X58" t="str">
        <v>3.7</v>
      </c>
      <c r="Y58" t="str">
        <v>3.4</v>
      </c>
      <c r="Z58" t="str">
        <v>3.5</v>
      </c>
      <c r="AA58" t="str">
        <v>4.4</v>
      </c>
      <c r="AB58" t="str">
        <v>3.7</v>
      </c>
      <c r="AC58" t="str">
        <v>0.4</v>
      </c>
      <c r="AD58" t="str">
        <v>-</v>
      </c>
      <c r="AE58" t="str">
        <v>-</v>
      </c>
      <c r="AF58" t="str">
        <v>-5.7</v>
      </c>
      <c r="AG58" t="str">
        <v>-0.4</v>
      </c>
      <c r="AH58" t="str">
        <v>-0.8</v>
      </c>
      <c r="AI58" t="str">
        <v>-0.3</v>
      </c>
      <c r="AJ58" t="str">
        <v>-2.5</v>
      </c>
      <c r="AK58" t="str">
        <v>-4.2</v>
      </c>
      <c r="AL58" t="str">
        <v>-4.2</v>
      </c>
      <c r="AM58" t="str">
        <v>-3.8</v>
      </c>
    </row>
    <row r="59">
      <c r="A59">
        <v>58</v>
      </c>
      <c r="B59" t="str">
        <v>其他</v>
      </c>
      <c r="C59" t="str">
        <v xml:space="preserve">其他商品零售类值累计值 (亿元) </v>
      </c>
      <c r="D59" t="str">
        <v>-</v>
      </c>
      <c r="E59" t="str">
        <v>1335.3</v>
      </c>
      <c r="F59" t="str">
        <v>848.8</v>
      </c>
      <c r="G59" t="str">
        <v>-</v>
      </c>
      <c r="H59" t="str">
        <v>5521.7</v>
      </c>
      <c r="I59" t="str">
        <v>4990.2</v>
      </c>
      <c r="J59" t="str">
        <v>4492.5</v>
      </c>
      <c r="K59" t="str">
        <v>4049.9</v>
      </c>
      <c r="L59" t="str">
        <v>3544.0</v>
      </c>
      <c r="M59" t="str">
        <v>3128.8</v>
      </c>
      <c r="N59" t="str">
        <v>2698.6</v>
      </c>
      <c r="O59" t="str">
        <v>2218.4</v>
      </c>
      <c r="P59" t="str">
        <v>1774.1</v>
      </c>
      <c r="Q59" t="str">
        <v>1353.8</v>
      </c>
      <c r="R59" t="str">
        <v>876.7</v>
      </c>
      <c r="S59" t="str">
        <v>-</v>
      </c>
      <c r="T59" t="str">
        <v>5146.0</v>
      </c>
      <c r="U59" t="str">
        <v>4640.4</v>
      </c>
      <c r="V59" t="str">
        <v>4174.7</v>
      </c>
      <c r="W59" t="str">
        <v>3697.4</v>
      </c>
      <c r="X59" t="str">
        <v>3207.4</v>
      </c>
      <c r="Y59" t="str">
        <v>2805.4</v>
      </c>
      <c r="Z59" t="str">
        <v>2419.8</v>
      </c>
      <c r="AA59" t="str">
        <v>1940.5</v>
      </c>
      <c r="AB59" t="str">
        <v>1536.6</v>
      </c>
      <c r="AC59" t="str">
        <v>1167.7</v>
      </c>
      <c r="AD59" t="str">
        <v>766.9</v>
      </c>
      <c r="AE59" t="str">
        <v>-</v>
      </c>
      <c r="AF59" t="str">
        <v>4477.0</v>
      </c>
      <c r="AG59" t="str">
        <v>4063.6</v>
      </c>
      <c r="AH59" t="str">
        <v>3647.6</v>
      </c>
      <c r="AI59" t="str">
        <v>3256.2</v>
      </c>
      <c r="AJ59" t="str">
        <v>2849.9</v>
      </c>
      <c r="AK59" t="str">
        <v>2506.3</v>
      </c>
      <c r="AL59" t="str">
        <v>2165.8</v>
      </c>
      <c r="AM59" t="str">
        <v>1753.4</v>
      </c>
    </row>
    <row r="60">
      <c r="A60">
        <v>59</v>
      </c>
      <c r="B60" t="str">
        <v>其他</v>
      </c>
      <c r="C60" t="str">
        <v xml:space="preserve">其他商品零售类值累计增长 (%) </v>
      </c>
      <c r="D60" t="str">
        <v>-</v>
      </c>
      <c r="E60" t="str">
        <v>3.5</v>
      </c>
      <c r="F60" t="str">
        <v>2.3</v>
      </c>
      <c r="G60" t="str">
        <v>-</v>
      </c>
      <c r="H60" t="str">
        <v>2.9</v>
      </c>
      <c r="I60" t="str">
        <v>3.4</v>
      </c>
      <c r="J60" t="str">
        <v>3.9</v>
      </c>
      <c r="K60" t="str">
        <v>4.2</v>
      </c>
      <c r="L60" t="str">
        <v>4.8</v>
      </c>
      <c r="M60" t="str">
        <v>5.6</v>
      </c>
      <c r="N60" t="str">
        <v>6.2</v>
      </c>
      <c r="O60" t="str">
        <v>8.2</v>
      </c>
      <c r="P60" t="str">
        <v>9.3</v>
      </c>
      <c r="Q60" t="str">
        <v>10.5</v>
      </c>
      <c r="R60" t="str">
        <v>9.8</v>
      </c>
      <c r="S60" t="str">
        <v>-</v>
      </c>
      <c r="T60" t="str">
        <v>4.3</v>
      </c>
      <c r="U60" t="str">
        <v>3.8</v>
      </c>
      <c r="V60" t="str">
        <v>4.0</v>
      </c>
      <c r="W60" t="str">
        <v>3.3</v>
      </c>
      <c r="X60" t="str">
        <v>2.8</v>
      </c>
      <c r="Y60" t="str">
        <v>2.7</v>
      </c>
      <c r="Z60" t="str">
        <v>2.6</v>
      </c>
      <c r="AA60" t="str">
        <v>2.3</v>
      </c>
      <c r="AB60" t="str">
        <v>1.8</v>
      </c>
      <c r="AC60" t="str">
        <v>1.2</v>
      </c>
      <c r="AD60" t="str">
        <v>1.7</v>
      </c>
      <c r="AE60" t="str">
        <v>-</v>
      </c>
      <c r="AF60" t="str">
        <v>-2.3</v>
      </c>
      <c r="AG60" t="str">
        <v>-1.9</v>
      </c>
      <c r="AH60" t="str">
        <v>-2.0</v>
      </c>
      <c r="AI60" t="str">
        <v>-2.2</v>
      </c>
      <c r="AJ60" t="str">
        <v>-2.4</v>
      </c>
      <c r="AK60" t="str">
        <v>-2.4</v>
      </c>
      <c r="AL60" t="str">
        <v>-2.1</v>
      </c>
      <c r="AM60" t="str">
        <v>-1.6</v>
      </c>
    </row>
    <row r="61">
      <c r="A61">
        <v>60</v>
      </c>
      <c r="B61" t="str">
        <v>其他</v>
      </c>
      <c r="C61" t="str">
        <v xml:space="preserve">其他商品零售类值当期值 (亿元) </v>
      </c>
      <c r="D61" t="str">
        <v>-</v>
      </c>
      <c r="E61" t="str">
        <v>490.7</v>
      </c>
      <c r="F61" t="str">
        <v>-</v>
      </c>
      <c r="G61" t="str">
        <v>-</v>
      </c>
      <c r="H61" t="str">
        <v>559.2</v>
      </c>
      <c r="I61" t="str">
        <v>498.3</v>
      </c>
      <c r="J61" t="str">
        <v>485.9</v>
      </c>
      <c r="K61" t="str">
        <v>497.6</v>
      </c>
      <c r="L61" t="str">
        <v>428.5</v>
      </c>
      <c r="M61" t="str">
        <v>427.7</v>
      </c>
      <c r="N61" t="str">
        <v>483.8</v>
      </c>
      <c r="O61" t="str">
        <v>448.5</v>
      </c>
      <c r="P61" t="str">
        <v>425.4</v>
      </c>
      <c r="Q61" t="str">
        <v>491.3</v>
      </c>
      <c r="R61" t="str">
        <v>-</v>
      </c>
      <c r="S61" t="str">
        <v>-</v>
      </c>
      <c r="T61" t="str">
        <v>543.0</v>
      </c>
      <c r="U61" t="str">
        <v>483.6</v>
      </c>
      <c r="V61" t="str">
        <v>461.9</v>
      </c>
      <c r="W61" t="str">
        <v>473.4</v>
      </c>
      <c r="X61" t="str">
        <v>405.2</v>
      </c>
      <c r="Y61" t="str">
        <v>395.8</v>
      </c>
      <c r="Z61" t="str">
        <v>470.6</v>
      </c>
      <c r="AA61" t="str">
        <v>407.5</v>
      </c>
      <c r="AB61" t="str">
        <v>381.2</v>
      </c>
      <c r="AC61" t="str">
        <v>420.6</v>
      </c>
      <c r="AD61" t="str">
        <v>-</v>
      </c>
      <c r="AE61" t="str">
        <v>-</v>
      </c>
      <c r="AF61" t="str">
        <v>458.6</v>
      </c>
      <c r="AG61" t="str">
        <v>425.0</v>
      </c>
      <c r="AH61" t="str">
        <v>382.6</v>
      </c>
      <c r="AI61" t="str">
        <v>404.7</v>
      </c>
      <c r="AJ61" t="str">
        <v>353.6</v>
      </c>
      <c r="AK61" t="str">
        <v>346.6</v>
      </c>
      <c r="AL61" t="str">
        <v>418.9</v>
      </c>
      <c r="AM61" t="str">
        <v>359.5</v>
      </c>
    </row>
    <row r="62">
      <c r="A62">
        <v>61</v>
      </c>
      <c r="B62" t="str">
        <v>粮油、食品、饮料、烟酒类</v>
      </c>
      <c r="C62" t="str">
        <v xml:space="preserve">饮料类商品零售类值同比增长 (%) </v>
      </c>
      <c r="D62" t="str">
        <v>-</v>
      </c>
      <c r="E62" t="str">
        <v>8.2</v>
      </c>
      <c r="F62" t="str">
        <v>-</v>
      </c>
      <c r="G62" t="str">
        <v>-</v>
      </c>
      <c r="H62" t="str">
        <v>1.7</v>
      </c>
      <c r="I62" t="str">
        <v>2.9</v>
      </c>
      <c r="J62" t="str">
        <v>7.1</v>
      </c>
      <c r="K62" t="str">
        <v>-0.8</v>
      </c>
      <c r="L62" t="str">
        <v>2.8</v>
      </c>
      <c r="M62" t="str">
        <v>2.7</v>
      </c>
      <c r="N62" t="str">
        <v>-4.4</v>
      </c>
      <c r="O62" t="str">
        <v>0.1</v>
      </c>
      <c r="P62" t="str">
        <v>2.9</v>
      </c>
      <c r="Q62" t="str">
        <v>4.4</v>
      </c>
      <c r="R62" t="str">
        <v>-</v>
      </c>
      <c r="S62" t="str">
        <v>-</v>
      </c>
      <c r="T62" t="str">
        <v>-8.5</v>
      </c>
      <c r="U62" t="str">
        <v>-4.3</v>
      </c>
      <c r="V62" t="str">
        <v>-0.9</v>
      </c>
      <c r="W62" t="str">
        <v>-0.7</v>
      </c>
      <c r="X62" t="str">
        <v>2.7</v>
      </c>
      <c r="Y62" t="str">
        <v>6.1</v>
      </c>
      <c r="Z62" t="str">
        <v>1.7</v>
      </c>
      <c r="AA62" t="str">
        <v>6.5</v>
      </c>
      <c r="AB62" t="str">
        <v>6.4</v>
      </c>
      <c r="AC62" t="str">
        <v>5.8</v>
      </c>
      <c r="AD62" t="str">
        <v>-</v>
      </c>
      <c r="AE62" t="str">
        <v>-</v>
      </c>
      <c r="AF62" t="str">
        <v>7.7</v>
      </c>
      <c r="AG62" t="str">
        <v>6.3</v>
      </c>
      <c r="AH62" t="str">
        <v>6.2</v>
      </c>
      <c r="AI62" t="str">
        <v>8.0</v>
      </c>
      <c r="AJ62" t="str">
        <v>0.8</v>
      </c>
      <c r="AK62" t="str">
        <v>3.1</v>
      </c>
      <c r="AL62" t="str">
        <v>3.6</v>
      </c>
      <c r="AM62" t="str">
        <v>-0.7</v>
      </c>
    </row>
    <row r="63">
      <c r="A63">
        <v>62</v>
      </c>
      <c r="B63" t="str">
        <v>粮油、食品、饮料、烟酒类</v>
      </c>
      <c r="C63" t="str">
        <v xml:space="preserve">饮料类商品零售类值累计值 (亿元) </v>
      </c>
      <c r="D63" t="str">
        <v>-</v>
      </c>
      <c r="E63" t="str">
        <v>818.3</v>
      </c>
      <c r="F63" t="str">
        <v>552.7</v>
      </c>
      <c r="G63" t="str">
        <v>-</v>
      </c>
      <c r="H63" t="str">
        <v>3294.8</v>
      </c>
      <c r="I63" t="str">
        <v>3044.8</v>
      </c>
      <c r="J63" t="str">
        <v>2774.0</v>
      </c>
      <c r="K63" t="str">
        <v>2501.3</v>
      </c>
      <c r="L63" t="str">
        <v>2189.9</v>
      </c>
      <c r="M63" t="str">
        <v>1905.5</v>
      </c>
      <c r="N63" t="str">
        <v>1619.7</v>
      </c>
      <c r="O63" t="str">
        <v>1304.4</v>
      </c>
      <c r="P63" t="str">
        <v>1038.3</v>
      </c>
      <c r="Q63" t="str">
        <v>793.2</v>
      </c>
      <c r="R63" t="str">
        <v>539.0</v>
      </c>
      <c r="S63" t="str">
        <v>-</v>
      </c>
      <c r="T63" t="str">
        <v>3200.3</v>
      </c>
      <c r="U63" t="str">
        <v>2938.8</v>
      </c>
      <c r="V63" t="str">
        <v>2674.7</v>
      </c>
      <c r="W63" t="str">
        <v>2413.4</v>
      </c>
      <c r="X63" t="str">
        <v>2104.7</v>
      </c>
      <c r="Y63" t="str">
        <v>1834.2</v>
      </c>
      <c r="Z63" t="str">
        <v>1564.0</v>
      </c>
      <c r="AA63" t="str">
        <v>1260.1</v>
      </c>
      <c r="AB63" t="str">
        <v>1004.2</v>
      </c>
      <c r="AC63" t="str">
        <v>777.7</v>
      </c>
      <c r="AD63" t="str">
        <v>541.4</v>
      </c>
      <c r="AE63" t="str">
        <v>-</v>
      </c>
      <c r="AF63" t="str">
        <v>2991.3</v>
      </c>
      <c r="AG63" t="str">
        <v>2734.1</v>
      </c>
      <c r="AH63" t="str">
        <v>2476.1</v>
      </c>
      <c r="AI63" t="str">
        <v>2227.1</v>
      </c>
      <c r="AJ63" t="str">
        <v>1929.3</v>
      </c>
      <c r="AK63" t="str">
        <v>1674.5</v>
      </c>
      <c r="AL63" t="str">
        <v>1433.1</v>
      </c>
      <c r="AM63" t="str">
        <v>1145.8</v>
      </c>
    </row>
    <row r="64">
      <c r="A64">
        <v>63</v>
      </c>
      <c r="B64" t="str">
        <v>粮油、食品、饮料、烟酒类</v>
      </c>
      <c r="C64" t="str">
        <v xml:space="preserve">饮料类商品零售类值累计增长 (%) </v>
      </c>
      <c r="D64" t="str">
        <v>-</v>
      </c>
      <c r="E64" t="str">
        <v>6.7</v>
      </c>
      <c r="F64" t="str">
        <v>6.0</v>
      </c>
      <c r="G64" t="str">
        <v>-</v>
      </c>
      <c r="H64" t="str">
        <v>1.0</v>
      </c>
      <c r="I64" t="str">
        <v>1.0</v>
      </c>
      <c r="J64" t="str">
        <v>0.8</v>
      </c>
      <c r="K64" t="str">
        <v>0.1</v>
      </c>
      <c r="L64" t="str">
        <v>0.2</v>
      </c>
      <c r="M64" t="str">
        <v>-0.2</v>
      </c>
      <c r="N64" t="str">
        <v>-0.6</v>
      </c>
      <c r="O64" t="str">
        <v>0.2</v>
      </c>
      <c r="P64" t="str">
        <v>0.3</v>
      </c>
      <c r="Q64" t="str">
        <v>-0.5</v>
      </c>
      <c r="R64" t="str">
        <v>-2.6</v>
      </c>
      <c r="S64" t="str">
        <v>-</v>
      </c>
      <c r="T64" t="str">
        <v>2.1</v>
      </c>
      <c r="U64" t="str">
        <v>3.2</v>
      </c>
      <c r="V64" t="str">
        <v>3.9</v>
      </c>
      <c r="W64" t="str">
        <v>4.5</v>
      </c>
      <c r="X64" t="str">
        <v>5.3</v>
      </c>
      <c r="Y64" t="str">
        <v>5.6</v>
      </c>
      <c r="Z64" t="str">
        <v>5.6</v>
      </c>
      <c r="AA64" t="str">
        <v>6.5</v>
      </c>
      <c r="AB64" t="str">
        <v>6.5</v>
      </c>
      <c r="AC64" t="str">
        <v>6.5</v>
      </c>
      <c r="AD64" t="str">
        <v>6.9</v>
      </c>
      <c r="AE64" t="str">
        <v>-</v>
      </c>
      <c r="AF64" t="str">
        <v>3.2</v>
      </c>
      <c r="AG64" t="str">
        <v>2.8</v>
      </c>
      <c r="AH64" t="str">
        <v>2.4</v>
      </c>
      <c r="AI64" t="str">
        <v>2.0</v>
      </c>
      <c r="AJ64" t="str">
        <v>1.2</v>
      </c>
      <c r="AK64" t="str">
        <v>1.3</v>
      </c>
      <c r="AL64" t="str">
        <v>1.0</v>
      </c>
      <c r="AM64" t="str">
        <v>0.4</v>
      </c>
    </row>
    <row r="65">
      <c r="A65">
        <v>64</v>
      </c>
      <c r="B65" t="str">
        <v>粮油、食品、饮料、烟酒类</v>
      </c>
      <c r="C65" t="str">
        <v xml:space="preserve">饮料类商品零售类值当期值 (亿元) </v>
      </c>
      <c r="D65" t="str">
        <v>-</v>
      </c>
      <c r="E65" t="str">
        <v>264.1</v>
      </c>
      <c r="F65" t="str">
        <v>-</v>
      </c>
      <c r="G65" t="str">
        <v>-</v>
      </c>
      <c r="H65" t="str">
        <v>274.7</v>
      </c>
      <c r="I65" t="str">
        <v>269.0</v>
      </c>
      <c r="J65" t="str">
        <v>282.0</v>
      </c>
      <c r="K65" t="str">
        <v>308.2</v>
      </c>
      <c r="L65" t="str">
        <v>284.7</v>
      </c>
      <c r="M65" t="str">
        <v>285.3</v>
      </c>
      <c r="N65" t="str">
        <v>296.3</v>
      </c>
      <c r="O65" t="str">
        <v>267.4</v>
      </c>
      <c r="P65" t="str">
        <v>246.3</v>
      </c>
      <c r="Q65" t="str">
        <v>255.9</v>
      </c>
      <c r="R65" t="str">
        <v>-</v>
      </c>
      <c r="S65" t="str">
        <v>-</v>
      </c>
      <c r="T65" t="str">
        <v>263.3</v>
      </c>
      <c r="U65" t="str">
        <v>254.5</v>
      </c>
      <c r="V65" t="str">
        <v>254.1</v>
      </c>
      <c r="W65" t="str">
        <v>300.6</v>
      </c>
      <c r="X65" t="str">
        <v>266.8</v>
      </c>
      <c r="Y65" t="str">
        <v>268.0</v>
      </c>
      <c r="Z65" t="str">
        <v>298.2</v>
      </c>
      <c r="AA65" t="str">
        <v>255.5</v>
      </c>
      <c r="AB65" t="str">
        <v>229.7</v>
      </c>
      <c r="AC65" t="str">
        <v>237.0</v>
      </c>
      <c r="AD65" t="str">
        <v>-</v>
      </c>
      <c r="AE65" t="str">
        <v>-</v>
      </c>
      <c r="AF65" t="str">
        <v>275.8</v>
      </c>
      <c r="AG65" t="str">
        <v>256.4</v>
      </c>
      <c r="AH65" t="str">
        <v>246.3</v>
      </c>
      <c r="AI65" t="str">
        <v>292.6</v>
      </c>
      <c r="AJ65" t="str">
        <v>250.0</v>
      </c>
      <c r="AK65" t="str">
        <v>243.4</v>
      </c>
      <c r="AL65" t="str">
        <v>286.8</v>
      </c>
      <c r="AM65" t="str">
        <v>232.0</v>
      </c>
    </row>
    <row r="66">
      <c r="A66">
        <v>65</v>
      </c>
      <c r="B66" t="str">
        <v>粮油、食品、饮料、烟酒类</v>
      </c>
      <c r="C66" t="str">
        <v xml:space="preserve">烟酒类商品零售类值同比增长 (%) </v>
      </c>
      <c r="D66" t="str">
        <v>-</v>
      </c>
      <c r="E66" t="str">
        <v>7.7</v>
      </c>
      <c r="F66" t="str">
        <v>-</v>
      </c>
      <c r="G66" t="str">
        <v>-</v>
      </c>
      <c r="H66" t="str">
        <v>-2.9</v>
      </c>
      <c r="I66" t="str">
        <v>-3.4</v>
      </c>
      <c r="J66" t="str">
        <v>4.1</v>
      </c>
      <c r="K66" t="str">
        <v>1.6</v>
      </c>
      <c r="L66" t="str">
        <v>-2.3</v>
      </c>
      <c r="M66" t="str">
        <v>2.7</v>
      </c>
      <c r="N66" t="str">
        <v>-0.7</v>
      </c>
      <c r="O66" t="str">
        <v>11.2</v>
      </c>
      <c r="P66" t="str">
        <v>4.0</v>
      </c>
      <c r="Q66" t="str">
        <v>8.5</v>
      </c>
      <c r="R66" t="str">
        <v>-</v>
      </c>
      <c r="S66" t="str">
        <v>-</v>
      </c>
      <c r="T66" t="str">
        <v>10.4</v>
      </c>
      <c r="U66" t="str">
        <v>-3.1</v>
      </c>
      <c r="V66" t="str">
        <v>-0.1</v>
      </c>
      <c r="W66" t="str">
        <v>-0.7</v>
      </c>
      <c r="X66" t="str">
        <v>3.1</v>
      </c>
      <c r="Y66" t="str">
        <v>-0.1</v>
      </c>
      <c r="Z66" t="str">
        <v>5.2</v>
      </c>
      <c r="AA66" t="str">
        <v>7.7</v>
      </c>
      <c r="AB66" t="str">
        <v>8.4</v>
      </c>
      <c r="AC66" t="str">
        <v>9.4</v>
      </c>
      <c r="AD66" t="str">
        <v>-</v>
      </c>
      <c r="AE66" t="str">
        <v>-</v>
      </c>
      <c r="AF66" t="str">
        <v>8.3</v>
      </c>
      <c r="AG66" t="str">
        <v>16.2</v>
      </c>
      <c r="AH66" t="str">
        <v>15.4</v>
      </c>
      <c r="AI66" t="str">
        <v>23.1</v>
      </c>
      <c r="AJ66" t="str">
        <v>4.3</v>
      </c>
      <c r="AK66" t="str">
        <v>7.2</v>
      </c>
      <c r="AL66" t="str">
        <v>9.6</v>
      </c>
      <c r="AM66" t="str">
        <v>8.6</v>
      </c>
    </row>
    <row r="67">
      <c r="A67">
        <v>66</v>
      </c>
      <c r="B67" t="str">
        <v>粮油、食品、饮料、烟酒类</v>
      </c>
      <c r="C67" t="str">
        <v xml:space="preserve">烟酒类商品零售类值累计值 (亿元) </v>
      </c>
      <c r="D67" t="str">
        <v>-</v>
      </c>
      <c r="E67" t="str">
        <v>2121.6</v>
      </c>
      <c r="F67" t="str">
        <v>1580.9</v>
      </c>
      <c r="G67" t="str">
        <v>-</v>
      </c>
      <c r="H67" t="str">
        <v>6425.0</v>
      </c>
      <c r="I67" t="str">
        <v>5789.8</v>
      </c>
      <c r="J67" t="str">
        <v>5300.8</v>
      </c>
      <c r="K67" t="str">
        <v>4807.9</v>
      </c>
      <c r="L67" t="str">
        <v>4193.7</v>
      </c>
      <c r="M67" t="str">
        <v>3740.3</v>
      </c>
      <c r="N67" t="str">
        <v>3316.1</v>
      </c>
      <c r="O67" t="str">
        <v>2786.8</v>
      </c>
      <c r="P67" t="str">
        <v>2305.1</v>
      </c>
      <c r="Q67" t="str">
        <v>1879.5</v>
      </c>
      <c r="R67" t="str">
        <v>1363.8</v>
      </c>
      <c r="S67" t="str">
        <v>-</v>
      </c>
      <c r="T67" t="str">
        <v>6159.0</v>
      </c>
      <c r="U67" t="str">
        <v>5524.0</v>
      </c>
      <c r="V67" t="str">
        <v>5002.1</v>
      </c>
      <c r="W67" t="str">
        <v>4525.6</v>
      </c>
      <c r="X67" t="str">
        <v>3919.0</v>
      </c>
      <c r="Y67" t="str">
        <v>3469.3</v>
      </c>
      <c r="Z67" t="str">
        <v>3055.5</v>
      </c>
      <c r="AA67" t="str">
        <v>2549.7</v>
      </c>
      <c r="AB67" t="str">
        <v>2130.1</v>
      </c>
      <c r="AC67" t="str">
        <v>1728.5</v>
      </c>
      <c r="AD67" t="str">
        <v>1265.4</v>
      </c>
      <c r="AE67" t="str">
        <v>-</v>
      </c>
      <c r="AF67" t="str">
        <v>5506.9</v>
      </c>
      <c r="AG67" t="str">
        <v>4993.2</v>
      </c>
      <c r="AH67" t="str">
        <v>4489.3</v>
      </c>
      <c r="AI67" t="str">
        <v>4026.2</v>
      </c>
      <c r="AJ67" t="str">
        <v>3445.7</v>
      </c>
      <c r="AK67" t="str">
        <v>3035.1</v>
      </c>
      <c r="AL67" t="str">
        <v>2641.3</v>
      </c>
      <c r="AM67" t="str">
        <v>2179.3</v>
      </c>
    </row>
    <row r="68">
      <c r="A68">
        <v>67</v>
      </c>
      <c r="B68" t="str">
        <v>粮油、食品、饮料、烟酒类</v>
      </c>
      <c r="C68" t="str">
        <v xml:space="preserve">烟酒类商品零售类值累计增长 (%) </v>
      </c>
      <c r="D68" t="str">
        <v>-</v>
      </c>
      <c r="E68" t="str">
        <v>16.0</v>
      </c>
      <c r="F68" t="str">
        <v>19.1</v>
      </c>
      <c r="G68" t="str">
        <v>-</v>
      </c>
      <c r="H68" t="str">
        <v>2.7</v>
      </c>
      <c r="I68" t="str">
        <v>3.3</v>
      </c>
      <c r="J68" t="str">
        <v>4.0</v>
      </c>
      <c r="K68" t="str">
        <v>4.0</v>
      </c>
      <c r="L68" t="str">
        <v>4.3</v>
      </c>
      <c r="M68" t="str">
        <v>5.2</v>
      </c>
      <c r="N68" t="str">
        <v>5.5</v>
      </c>
      <c r="O68" t="str">
        <v>6.7</v>
      </c>
      <c r="P68" t="str">
        <v>5.8</v>
      </c>
      <c r="Q68" t="str">
        <v>6.3</v>
      </c>
      <c r="R68" t="str">
        <v>5.5</v>
      </c>
      <c r="S68" t="str">
        <v>-</v>
      </c>
      <c r="T68" t="str">
        <v>5.7</v>
      </c>
      <c r="U68" t="str">
        <v>5.2</v>
      </c>
      <c r="V68" t="str">
        <v>6.1</v>
      </c>
      <c r="W68" t="str">
        <v>6.8</v>
      </c>
      <c r="X68" t="str">
        <v>8.0</v>
      </c>
      <c r="Y68" t="str">
        <v>8.7</v>
      </c>
      <c r="Z68" t="str">
        <v>10.0</v>
      </c>
      <c r="AA68" t="str">
        <v>11.0</v>
      </c>
      <c r="AB68" t="str">
        <v>11.7</v>
      </c>
      <c r="AC68" t="str">
        <v>12.5</v>
      </c>
      <c r="AD68" t="str">
        <v>13.7</v>
      </c>
      <c r="AE68" t="str">
        <v>-</v>
      </c>
      <c r="AF68" t="str">
        <v>10.6</v>
      </c>
      <c r="AG68" t="str">
        <v>10.9</v>
      </c>
      <c r="AH68" t="str">
        <v>10.3</v>
      </c>
      <c r="AI68" t="str">
        <v>9.8</v>
      </c>
      <c r="AJ68" t="str">
        <v>7.9</v>
      </c>
      <c r="AK68" t="str">
        <v>8.4</v>
      </c>
      <c r="AL68" t="str">
        <v>8.6</v>
      </c>
      <c r="AM68" t="str">
        <v>8.3</v>
      </c>
    </row>
    <row r="69">
      <c r="A69">
        <v>68</v>
      </c>
      <c r="B69" t="str">
        <v>粮油、食品、饮料、烟酒类</v>
      </c>
      <c r="C69" t="str">
        <v xml:space="preserve">烟酒类商品零售类值当期值 (亿元) </v>
      </c>
      <c r="D69" t="str">
        <v>-</v>
      </c>
      <c r="E69" t="str">
        <v>538.7</v>
      </c>
      <c r="F69" t="str">
        <v>-</v>
      </c>
      <c r="G69" t="str">
        <v>-</v>
      </c>
      <c r="H69" t="str">
        <v>622.8</v>
      </c>
      <c r="I69" t="str">
        <v>502.0</v>
      </c>
      <c r="J69" t="str">
        <v>510.7</v>
      </c>
      <c r="K69" t="str">
        <v>614.8</v>
      </c>
      <c r="L69" t="str">
        <v>449.9</v>
      </c>
      <c r="M69" t="str">
        <v>432.8</v>
      </c>
      <c r="N69" t="str">
        <v>515.9</v>
      </c>
      <c r="O69" t="str">
        <v>482.4</v>
      </c>
      <c r="P69" t="str">
        <v>435.9</v>
      </c>
      <c r="Q69" t="str">
        <v>515.2</v>
      </c>
      <c r="R69" t="str">
        <v>-</v>
      </c>
      <c r="S69" t="str">
        <v>-</v>
      </c>
      <c r="T69" t="str">
        <v>632.4</v>
      </c>
      <c r="U69" t="str">
        <v>510.8</v>
      </c>
      <c r="V69" t="str">
        <v>480.2</v>
      </c>
      <c r="W69" t="str">
        <v>587.8</v>
      </c>
      <c r="X69" t="str">
        <v>448.5</v>
      </c>
      <c r="Y69" t="str">
        <v>409.9</v>
      </c>
      <c r="Z69" t="str">
        <v>503.4</v>
      </c>
      <c r="AA69" t="str">
        <v>421.7</v>
      </c>
      <c r="AB69" t="str">
        <v>407.3</v>
      </c>
      <c r="AC69" t="str">
        <v>461.7</v>
      </c>
      <c r="AD69" t="str">
        <v>-</v>
      </c>
      <c r="AE69" t="str">
        <v>-</v>
      </c>
      <c r="AF69" t="str">
        <v>543.4</v>
      </c>
      <c r="AG69" t="str">
        <v>502.9</v>
      </c>
      <c r="AH69" t="str">
        <v>457.7</v>
      </c>
      <c r="AI69" t="str">
        <v>567.6</v>
      </c>
      <c r="AJ69" t="str">
        <v>413.9</v>
      </c>
      <c r="AK69" t="str">
        <v>391.2</v>
      </c>
      <c r="AL69" t="str">
        <v>460.0</v>
      </c>
      <c r="AM69" t="str">
        <v>374.7</v>
      </c>
    </row>
    <row r="70">
      <c r="A70">
        <v>69</v>
      </c>
      <c r="B70" t="str">
        <v>粮油、食品、饮料、烟酒类</v>
      </c>
      <c r="C70" t="str">
        <v xml:space="preserve">粮油、食品类商品零售类值同比增长 (%) </v>
      </c>
      <c r="D70" t="str">
        <v>-</v>
      </c>
      <c r="E70" t="str">
        <v>9.5</v>
      </c>
      <c r="F70" t="str">
        <v>-</v>
      </c>
      <c r="G70" t="str">
        <v>-</v>
      </c>
      <c r="H70" t="str">
        <v>3.9</v>
      </c>
      <c r="I70" t="str">
        <v>6.1</v>
      </c>
      <c r="J70" t="str">
        <v>9.1</v>
      </c>
      <c r="K70" t="str">
        <v>6.3</v>
      </c>
      <c r="L70" t="str">
        <v>5.8</v>
      </c>
      <c r="M70" t="str">
        <v>8.6</v>
      </c>
      <c r="N70" t="str">
        <v>8.7</v>
      </c>
      <c r="O70" t="str">
        <v>14.6</v>
      </c>
      <c r="P70" t="str">
        <v>14.0</v>
      </c>
      <c r="Q70" t="str">
        <v>13.8</v>
      </c>
      <c r="R70" t="str">
        <v>-</v>
      </c>
      <c r="S70" t="str">
        <v>-</v>
      </c>
      <c r="T70" t="str">
        <v>9.9</v>
      </c>
      <c r="U70" t="str">
        <v>10.1</v>
      </c>
      <c r="V70" t="str">
        <v>10.1</v>
      </c>
      <c r="W70" t="str">
        <v>11.1</v>
      </c>
      <c r="X70" t="str">
        <v>10.1</v>
      </c>
      <c r="Y70" t="str">
        <v>9.9</v>
      </c>
      <c r="Z70" t="str">
        <v>10.8</v>
      </c>
      <c r="AA70" t="str">
        <v>9.3</v>
      </c>
      <c r="AB70" t="str">
        <v>8.5</v>
      </c>
      <c r="AC70" t="str">
        <v>11.0</v>
      </c>
      <c r="AD70" t="str">
        <v>-</v>
      </c>
      <c r="AE70" t="str">
        <v>-</v>
      </c>
      <c r="AF70" t="str">
        <v>5.8</v>
      </c>
      <c r="AG70" t="str">
        <v>4.4</v>
      </c>
      <c r="AH70" t="str">
        <v>4.4</v>
      </c>
      <c r="AI70" t="str">
        <v>8.3</v>
      </c>
      <c r="AJ70" t="str">
        <v>4.5</v>
      </c>
      <c r="AK70" t="str">
        <v>5.5</v>
      </c>
      <c r="AL70" t="str">
        <v>5.4</v>
      </c>
      <c r="AM70" t="str">
        <v>-0.7</v>
      </c>
    </row>
    <row r="71">
      <c r="A71">
        <v>70</v>
      </c>
      <c r="B71" t="str">
        <v>粮油、食品、饮料、烟酒类</v>
      </c>
      <c r="C71" t="str">
        <v xml:space="preserve">粮油、食品类商品零售类值累计值 (亿元) </v>
      </c>
      <c r="D71" t="str">
        <v>-</v>
      </c>
      <c r="E71" t="str">
        <v>6565.0</v>
      </c>
      <c r="F71" t="str">
        <v>4507.3</v>
      </c>
      <c r="G71" t="str">
        <v>-</v>
      </c>
      <c r="H71" t="str">
        <v>23991.2</v>
      </c>
      <c r="I71" t="str">
        <v>21765.7</v>
      </c>
      <c r="J71" t="str">
        <v>19726.9</v>
      </c>
      <c r="K71" t="str">
        <v>17778.4</v>
      </c>
      <c r="L71" t="str">
        <v>15579.3</v>
      </c>
      <c r="M71" t="str">
        <v>13741.0</v>
      </c>
      <c r="N71" t="str">
        <v>11951.9</v>
      </c>
      <c r="O71" t="str">
        <v>9892.9</v>
      </c>
      <c r="P71" t="str">
        <v>7979.6</v>
      </c>
      <c r="Q71" t="str">
        <v>6210.3</v>
      </c>
      <c r="R71" t="str">
        <v>4229.5</v>
      </c>
      <c r="S71" t="str">
        <v>-</v>
      </c>
      <c r="T71" t="str">
        <v>21736.8</v>
      </c>
      <c r="U71" t="str">
        <v>19586.0</v>
      </c>
      <c r="V71" t="str">
        <v>17657.7</v>
      </c>
      <c r="W71" t="str">
        <v>15771.1</v>
      </c>
      <c r="X71" t="str">
        <v>13693.1</v>
      </c>
      <c r="Y71" t="str">
        <v>11990.6</v>
      </c>
      <c r="Z71" t="str">
        <v>10352.7</v>
      </c>
      <c r="AA71" t="str">
        <v>8499.1</v>
      </c>
      <c r="AB71" t="str">
        <v>6882.6</v>
      </c>
      <c r="AC71" t="str">
        <v>5390.1</v>
      </c>
      <c r="AD71" t="str">
        <v>3692.9</v>
      </c>
      <c r="AE71" t="str">
        <v>-</v>
      </c>
      <c r="AF71" t="str">
        <v>18886.8</v>
      </c>
      <c r="AG71" t="str">
        <v>17179.8</v>
      </c>
      <c r="AH71" t="str">
        <v>15496.0</v>
      </c>
      <c r="AI71" t="str">
        <v>13885.6</v>
      </c>
      <c r="AJ71" t="str">
        <v>12082.4</v>
      </c>
      <c r="AK71" t="str">
        <v>10594.6</v>
      </c>
      <c r="AL71" t="str">
        <v>9161.0</v>
      </c>
      <c r="AM71" t="str">
        <v>7530.7</v>
      </c>
    </row>
    <row r="72">
      <c r="A72">
        <v>71</v>
      </c>
      <c r="B72" t="str">
        <v>粮油、食品、饮料、烟酒类</v>
      </c>
      <c r="C72" t="str">
        <v xml:space="preserve">粮油、食品类商品零售类值累计增长 (%) </v>
      </c>
      <c r="D72" t="str">
        <v>-</v>
      </c>
      <c r="E72" t="str">
        <v>10.0</v>
      </c>
      <c r="F72" t="str">
        <v>10.2</v>
      </c>
      <c r="G72" t="str">
        <v>-</v>
      </c>
      <c r="H72" t="str">
        <v>9.3</v>
      </c>
      <c r="I72" t="str">
        <v>9.9</v>
      </c>
      <c r="J72" t="str">
        <v>10.3</v>
      </c>
      <c r="K72" t="str">
        <v>10.4</v>
      </c>
      <c r="L72" t="str">
        <v>11.0</v>
      </c>
      <c r="M72" t="str">
        <v>11.8</v>
      </c>
      <c r="N72" t="str">
        <v>12.3</v>
      </c>
      <c r="O72" t="str">
        <v>13.0</v>
      </c>
      <c r="P72" t="str">
        <v>12.6</v>
      </c>
      <c r="Q72" t="str">
        <v>12.2</v>
      </c>
      <c r="R72" t="str">
        <v>11.5</v>
      </c>
      <c r="S72" t="str">
        <v>-</v>
      </c>
      <c r="T72" t="str">
        <v>9.9</v>
      </c>
      <c r="U72" t="str">
        <v>9.9</v>
      </c>
      <c r="V72" t="str">
        <v>9.9</v>
      </c>
      <c r="W72" t="str">
        <v>9.9</v>
      </c>
      <c r="X72" t="str">
        <v>9.7</v>
      </c>
      <c r="Y72" t="str">
        <v>9.6</v>
      </c>
      <c r="Z72" t="str">
        <v>9.6</v>
      </c>
      <c r="AA72" t="str">
        <v>9.3</v>
      </c>
      <c r="AB72" t="str">
        <v>9.3</v>
      </c>
      <c r="AC72" t="str">
        <v>9.6</v>
      </c>
      <c r="AD72" t="str">
        <v>9.0</v>
      </c>
      <c r="AE72" t="str">
        <v>-</v>
      </c>
      <c r="AF72" t="str">
        <v>5.2</v>
      </c>
      <c r="AG72" t="str">
        <v>5.1</v>
      </c>
      <c r="AH72" t="str">
        <v>5.2</v>
      </c>
      <c r="AI72" t="str">
        <v>5.3</v>
      </c>
      <c r="AJ72" t="str">
        <v>4.9</v>
      </c>
      <c r="AK72" t="str">
        <v>4.9</v>
      </c>
      <c r="AL72" t="str">
        <v>4.8</v>
      </c>
      <c r="AM72" t="str">
        <v>4.7</v>
      </c>
    </row>
    <row r="73">
      <c r="A73">
        <v>72</v>
      </c>
      <c r="B73" t="str">
        <v>粮油、食品、饮料、烟酒类</v>
      </c>
      <c r="C73" t="str">
        <v xml:space="preserve">粮油、食品类商品零售类值当期值 (亿元) </v>
      </c>
      <c r="D73" t="str">
        <v>-</v>
      </c>
      <c r="E73" t="str">
        <v>2058.0</v>
      </c>
      <c r="F73" t="str">
        <v>-</v>
      </c>
      <c r="G73" t="str">
        <v>-</v>
      </c>
      <c r="H73" t="str">
        <v>2323.0</v>
      </c>
      <c r="I73" t="str">
        <v>2060.0</v>
      </c>
      <c r="J73" t="str">
        <v>2067.7</v>
      </c>
      <c r="K73" t="str">
        <v>2220.8</v>
      </c>
      <c r="L73" t="str">
        <v>1848.1</v>
      </c>
      <c r="M73" t="str">
        <v>1817.0</v>
      </c>
      <c r="N73" t="str">
        <v>2050.1</v>
      </c>
      <c r="O73" t="str">
        <v>1918.5</v>
      </c>
      <c r="P73" t="str">
        <v>1798.8</v>
      </c>
      <c r="Q73" t="str">
        <v>1978.9</v>
      </c>
      <c r="R73" t="str">
        <v>-</v>
      </c>
      <c r="S73" t="str">
        <v>-</v>
      </c>
      <c r="T73" t="str">
        <v>2185.3</v>
      </c>
      <c r="U73" t="str">
        <v>1894.4</v>
      </c>
      <c r="V73" t="str">
        <v>1843.8</v>
      </c>
      <c r="W73" t="str">
        <v>2037.1</v>
      </c>
      <c r="X73" t="str">
        <v>1695.8</v>
      </c>
      <c r="Y73" t="str">
        <v>1619.5</v>
      </c>
      <c r="Z73" t="str">
        <v>1832.9</v>
      </c>
      <c r="AA73" t="str">
        <v>1615.2</v>
      </c>
      <c r="AB73" t="str">
        <v>1521.4</v>
      </c>
      <c r="AC73" t="str">
        <v>1689.5</v>
      </c>
      <c r="AD73" t="str">
        <v>-</v>
      </c>
      <c r="AE73" t="str">
        <v>-</v>
      </c>
      <c r="AF73" t="str">
        <v>1905.8</v>
      </c>
      <c r="AG73" t="str">
        <v>1672.9</v>
      </c>
      <c r="AH73" t="str">
        <v>1624.1</v>
      </c>
      <c r="AI73" t="str">
        <v>1782.0</v>
      </c>
      <c r="AJ73" t="str">
        <v>1492.7</v>
      </c>
      <c r="AK73" t="str">
        <v>1430.8</v>
      </c>
      <c r="AL73" t="str">
        <v>1630.6</v>
      </c>
      <c r="AM73" t="str">
        <v>1438.3</v>
      </c>
    </row>
    <row r="74">
      <c r="A74">
        <v>73</v>
      </c>
      <c r="B74" t="str">
        <v>粮油、食品、饮料、烟酒类</v>
      </c>
      <c r="C74" t="str">
        <v xml:space="preserve">粮油、食品、饮料、烟酒类商品零售类值同比增长 (%) </v>
      </c>
      <c r="D74" t="str">
        <v>-</v>
      </c>
      <c r="E74" t="str">
        <v>9.0</v>
      </c>
      <c r="F74" t="str">
        <v>-</v>
      </c>
      <c r="G74" t="str">
        <v>-</v>
      </c>
      <c r="H74" t="str">
        <v>2.4</v>
      </c>
      <c r="I74" t="str">
        <v>4.0</v>
      </c>
      <c r="J74" t="str">
        <v>8.0</v>
      </c>
      <c r="K74" t="str">
        <v>4.6</v>
      </c>
      <c r="L74" t="str">
        <v>4.0</v>
      </c>
      <c r="M74" t="str">
        <v>6.9</v>
      </c>
      <c r="N74" t="str">
        <v>5.4</v>
      </c>
      <c r="O74" t="str">
        <v>12.4</v>
      </c>
      <c r="P74" t="str">
        <v>10.9</v>
      </c>
      <c r="Q74" t="str">
        <v>11.8</v>
      </c>
      <c r="R74" t="str">
        <v>-</v>
      </c>
      <c r="S74" t="str">
        <v>-</v>
      </c>
      <c r="T74" t="str">
        <v>8.1</v>
      </c>
      <c r="U74" t="str">
        <v>5.8</v>
      </c>
      <c r="V74" t="str">
        <v>6.9</v>
      </c>
      <c r="W74" t="str">
        <v>7.2</v>
      </c>
      <c r="X74" t="str">
        <v>7.9</v>
      </c>
      <c r="Y74" t="str">
        <v>7.5</v>
      </c>
      <c r="Z74" t="str">
        <v>8.6</v>
      </c>
      <c r="AA74" t="str">
        <v>9.5</v>
      </c>
      <c r="AB74" t="str">
        <v>8.3</v>
      </c>
      <c r="AC74" t="str">
        <v>10.1</v>
      </c>
      <c r="AD74" t="str">
        <v>-</v>
      </c>
      <c r="AE74" t="str">
        <v>-</v>
      </c>
      <c r="AF74" t="str">
        <v>6.5</v>
      </c>
      <c r="AG74" t="str">
        <v>6.8</v>
      </c>
      <c r="AH74" t="str">
        <v>6.6</v>
      </c>
      <c r="AI74" t="str">
        <v>11.2</v>
      </c>
      <c r="AJ74" t="str">
        <v>4.0</v>
      </c>
      <c r="AK74" t="str">
        <v>5.5</v>
      </c>
      <c r="AL74" t="str">
        <v>6.0</v>
      </c>
      <c r="AM74" t="str">
        <v>0.9</v>
      </c>
    </row>
    <row r="75">
      <c r="A75">
        <v>74</v>
      </c>
      <c r="B75" t="str">
        <v>粮油、食品、饮料、烟酒类</v>
      </c>
      <c r="C75" t="str">
        <v xml:space="preserve">粮油、食品、饮料、烟酒类商品零售类值累计值 (亿元) </v>
      </c>
      <c r="D75" t="str">
        <v>-</v>
      </c>
      <c r="E75" t="str">
        <v>9504.9</v>
      </c>
      <c r="F75" t="str">
        <v>6640.9</v>
      </c>
      <c r="G75" t="str">
        <v>-</v>
      </c>
      <c r="H75" t="str">
        <v>33711.0</v>
      </c>
      <c r="I75" t="str">
        <v>30600.3</v>
      </c>
      <c r="J75" t="str">
        <v>27801.7</v>
      </c>
      <c r="K75" t="str">
        <v>25087.6</v>
      </c>
      <c r="L75" t="str">
        <v>21962.9</v>
      </c>
      <c r="M75" t="str">
        <v>19386.8</v>
      </c>
      <c r="N75" t="str">
        <v>16887.7</v>
      </c>
      <c r="O75" t="str">
        <v>13984.1</v>
      </c>
      <c r="P75" t="str">
        <v>11323.0</v>
      </c>
      <c r="Q75" t="str">
        <v>8883.0</v>
      </c>
      <c r="R75" t="str">
        <v>6132.3</v>
      </c>
      <c r="S75" t="str">
        <v>-</v>
      </c>
      <c r="T75" t="str">
        <v>30926.4</v>
      </c>
      <c r="U75" t="str">
        <v>28048.8</v>
      </c>
      <c r="V75" t="str">
        <v>25334.5</v>
      </c>
      <c r="W75" t="str">
        <v>22607.5</v>
      </c>
      <c r="X75" t="str">
        <v>19681.9</v>
      </c>
      <c r="Y75" t="str">
        <v>17270.8</v>
      </c>
      <c r="Z75" t="str">
        <v>14972.2</v>
      </c>
      <c r="AA75" t="str">
        <v>12308.9</v>
      </c>
      <c r="AB75" t="str">
        <v>10016.9</v>
      </c>
      <c r="AC75" t="str">
        <v>7896.3</v>
      </c>
      <c r="AD75" t="str">
        <v>5499.7</v>
      </c>
      <c r="AE75" t="str">
        <v>-</v>
      </c>
      <c r="AF75" t="str">
        <v>27385.0</v>
      </c>
      <c r="AG75" t="str">
        <v>24907.1</v>
      </c>
      <c r="AH75" t="str">
        <v>22461.4</v>
      </c>
      <c r="AI75" t="str">
        <v>20138.9</v>
      </c>
      <c r="AJ75" t="str">
        <v>17457.4</v>
      </c>
      <c r="AK75" t="str">
        <v>15304.2</v>
      </c>
      <c r="AL75" t="str">
        <v>13235.4</v>
      </c>
      <c r="AM75" t="str">
        <v>10855.8</v>
      </c>
    </row>
    <row r="76">
      <c r="A76">
        <v>75</v>
      </c>
      <c r="B76" t="str">
        <v>粮油、食品、饮料、烟酒类</v>
      </c>
      <c r="C76" t="str">
        <v xml:space="preserve">粮油、食品、饮料、烟酒类商品零售类值累计增长 (%) </v>
      </c>
      <c r="D76" t="str">
        <v>-</v>
      </c>
      <c r="E76" t="str">
        <v>11.0</v>
      </c>
      <c r="F76" t="str">
        <v>11.8</v>
      </c>
      <c r="G76" t="str">
        <v>-</v>
      </c>
      <c r="H76" t="str">
        <v>7.1</v>
      </c>
      <c r="I76" t="str">
        <v>7.6</v>
      </c>
      <c r="J76" t="str">
        <v>8.0</v>
      </c>
      <c r="K76" t="str">
        <v>8.0</v>
      </c>
      <c r="L76" t="str">
        <v>8.5</v>
      </c>
      <c r="M76" t="str">
        <v>9.2</v>
      </c>
      <c r="N76" t="str">
        <v>9.5</v>
      </c>
      <c r="O76" t="str">
        <v>10.4</v>
      </c>
      <c r="P76" t="str">
        <v>10.0</v>
      </c>
      <c r="Q76" t="str">
        <v>9.7</v>
      </c>
      <c r="R76" t="str">
        <v>8.7</v>
      </c>
      <c r="S76" t="str">
        <v>-</v>
      </c>
      <c r="T76" t="str">
        <v>8.2</v>
      </c>
      <c r="U76" t="str">
        <v>8.2</v>
      </c>
      <c r="V76" t="str">
        <v>8.5</v>
      </c>
      <c r="W76" t="str">
        <v>8.7</v>
      </c>
      <c r="X76" t="str">
        <v>8.9</v>
      </c>
      <c r="Y76" t="str">
        <v>9.0</v>
      </c>
      <c r="Z76" t="str">
        <v>9.2</v>
      </c>
      <c r="AA76" t="str">
        <v>9.4</v>
      </c>
      <c r="AB76" t="str">
        <v>9.5</v>
      </c>
      <c r="AC76" t="str">
        <v>9.9</v>
      </c>
      <c r="AD76" t="str">
        <v>9.8</v>
      </c>
      <c r="AE76" t="str">
        <v>-</v>
      </c>
      <c r="AF76" t="str">
        <v>6.0</v>
      </c>
      <c r="AG76" t="str">
        <v>6.0</v>
      </c>
      <c r="AH76" t="str">
        <v>5.9</v>
      </c>
      <c r="AI76" t="str">
        <v>5.8</v>
      </c>
      <c r="AJ76" t="str">
        <v>5.1</v>
      </c>
      <c r="AK76" t="str">
        <v>5.2</v>
      </c>
      <c r="AL76" t="str">
        <v>5.1</v>
      </c>
      <c r="AM76" t="str">
        <v>4.9</v>
      </c>
    </row>
    <row r="77">
      <c r="A77">
        <v>76</v>
      </c>
      <c r="B77" t="str">
        <v>粮油、食品、饮料、烟酒类</v>
      </c>
      <c r="C77" t="str">
        <v xml:space="preserve">粮油、食品、饮料、烟酒类商品零售类值当期值 (亿元) </v>
      </c>
      <c r="D77" t="str">
        <v>-</v>
      </c>
      <c r="E77" t="str">
        <v>2860.8</v>
      </c>
      <c r="F77" t="str">
        <v>-</v>
      </c>
      <c r="G77" t="str">
        <v>-</v>
      </c>
      <c r="H77" t="str">
        <v>3220.5</v>
      </c>
      <c r="I77" t="str">
        <v>2831.0</v>
      </c>
      <c r="J77" t="str">
        <v>2860.4</v>
      </c>
      <c r="K77" t="str">
        <v>3143.8</v>
      </c>
      <c r="L77" t="str">
        <v>2582.8</v>
      </c>
      <c r="M77" t="str">
        <v>2535.1</v>
      </c>
      <c r="N77" t="str">
        <v>2862.3</v>
      </c>
      <c r="O77" t="str">
        <v>2668.3</v>
      </c>
      <c r="P77" t="str">
        <v>2481.0</v>
      </c>
      <c r="Q77" t="str">
        <v>2750.0</v>
      </c>
      <c r="R77" t="str">
        <v>-</v>
      </c>
      <c r="S77" t="str">
        <v>-</v>
      </c>
      <c r="T77" t="str">
        <v>3081.0</v>
      </c>
      <c r="U77" t="str">
        <v>2659.7</v>
      </c>
      <c r="V77" t="str">
        <v>2578.1</v>
      </c>
      <c r="W77" t="str">
        <v>2925.6</v>
      </c>
      <c r="X77" t="str">
        <v>2411.1</v>
      </c>
      <c r="Y77" t="str">
        <v>2297.4</v>
      </c>
      <c r="Z77" t="str">
        <v>2634.5</v>
      </c>
      <c r="AA77" t="str">
        <v>2292.5</v>
      </c>
      <c r="AB77" t="str">
        <v>2158.4</v>
      </c>
      <c r="AC77" t="str">
        <v>2388.2</v>
      </c>
      <c r="AD77" t="str">
        <v>-</v>
      </c>
      <c r="AE77" t="str">
        <v>-</v>
      </c>
      <c r="AF77" t="str">
        <v>2725.0</v>
      </c>
      <c r="AG77" t="str">
        <v>2432.2</v>
      </c>
      <c r="AH77" t="str">
        <v>2328.1</v>
      </c>
      <c r="AI77" t="str">
        <v>2642.2</v>
      </c>
      <c r="AJ77" t="str">
        <v>2156.6</v>
      </c>
      <c r="AK77" t="str">
        <v>2065.4</v>
      </c>
      <c r="AL77" t="str">
        <v>2377.4</v>
      </c>
      <c r="AM77" t="str">
        <v>2045.0</v>
      </c>
    </row>
    <row r="78">
      <c r="A78">
        <v>77</v>
      </c>
      <c r="B78" t="str">
        <v>金银珠宝类</v>
      </c>
      <c r="C78" t="str">
        <v xml:space="preserve">金银珠宝类商品零售类值同比增长 (%) </v>
      </c>
      <c r="D78" t="str">
        <v>-</v>
      </c>
      <c r="E78" t="str">
        <v>11.7</v>
      </c>
      <c r="F78" t="str">
        <v>-</v>
      </c>
      <c r="G78" t="str">
        <v>-</v>
      </c>
      <c r="H78" t="str">
        <v>5.9</v>
      </c>
      <c r="I78" t="str">
        <v>8.5</v>
      </c>
      <c r="J78" t="str">
        <v>37.6</v>
      </c>
      <c r="K78" t="str">
        <v>9.7</v>
      </c>
      <c r="L78" t="str">
        <v>16.8</v>
      </c>
      <c r="M78" t="str">
        <v>8.2</v>
      </c>
      <c r="N78" t="str">
        <v>6.1</v>
      </c>
      <c r="O78" t="str">
        <v>21.8</v>
      </c>
      <c r="P78" t="str">
        <v>25.3</v>
      </c>
      <c r="Q78" t="str">
        <v>10.6</v>
      </c>
      <c r="R78" t="str">
        <v>-</v>
      </c>
      <c r="S78" t="str">
        <v>-</v>
      </c>
      <c r="T78" t="str">
        <v>-1.0</v>
      </c>
      <c r="U78" t="str">
        <v>-5.9</v>
      </c>
      <c r="V78" t="str">
        <v>-2.7</v>
      </c>
      <c r="W78" t="str">
        <v>-7.8</v>
      </c>
      <c r="X78" t="str">
        <v>-12.0</v>
      </c>
      <c r="Y78" t="str">
        <v>-10.4</v>
      </c>
      <c r="Z78" t="str">
        <v>-3.7</v>
      </c>
      <c r="AA78" t="str">
        <v>-11.0</v>
      </c>
      <c r="AB78" t="str">
        <v>-0.1</v>
      </c>
      <c r="AC78" t="str">
        <v>3.2</v>
      </c>
      <c r="AD78" t="str">
        <v>-</v>
      </c>
      <c r="AE78" t="str">
        <v>-</v>
      </c>
      <c r="AF78" t="str">
        <v>29.4</v>
      </c>
      <c r="AG78" t="str">
        <v>10.7</v>
      </c>
      <c r="AH78" t="str">
        <v>10.4</v>
      </c>
      <c r="AI78" t="str">
        <v>7.7</v>
      </c>
      <c r="AJ78" t="str">
        <v>7.2</v>
      </c>
      <c r="AK78" t="str">
        <v>-10.0</v>
      </c>
      <c r="AL78" t="str">
        <v>7.8</v>
      </c>
      <c r="AM78" t="str">
        <v>24.4</v>
      </c>
    </row>
    <row r="79">
      <c r="A79">
        <v>78</v>
      </c>
      <c r="B79" t="str">
        <v>金银珠宝类</v>
      </c>
      <c r="C79" t="str">
        <v xml:space="preserve">金银珠宝类商品零售类值累计值 (亿元) </v>
      </c>
      <c r="D79" t="str">
        <v>-</v>
      </c>
      <c r="E79" t="str">
        <v>1193.7</v>
      </c>
      <c r="F79" t="str">
        <v>836.9</v>
      </c>
      <c r="G79" t="str">
        <v>-</v>
      </c>
      <c r="H79" t="str">
        <v>3735.6</v>
      </c>
      <c r="I79" t="str">
        <v>3414.0</v>
      </c>
      <c r="J79" t="str">
        <v>3131.2</v>
      </c>
      <c r="K79" t="str">
        <v>2768.1</v>
      </c>
      <c r="L79" t="str">
        <v>2474.6</v>
      </c>
      <c r="M79" t="str">
        <v>2167.7</v>
      </c>
      <c r="N79" t="str">
        <v>1947.6</v>
      </c>
      <c r="O79" t="str">
        <v>1663.7</v>
      </c>
      <c r="P79" t="str">
        <v>1369.1</v>
      </c>
      <c r="Q79" t="str">
        <v>1079.7</v>
      </c>
      <c r="R79" t="str">
        <v>754.7</v>
      </c>
      <c r="S79" t="str">
        <v>-</v>
      </c>
      <c r="T79" t="str">
        <v>3299.8</v>
      </c>
      <c r="U79" t="str">
        <v>2997.3</v>
      </c>
      <c r="V79" t="str">
        <v>2720.1</v>
      </c>
      <c r="W79" t="str">
        <v>2453.9</v>
      </c>
      <c r="X79" t="str">
        <v>2185.9</v>
      </c>
      <c r="Y79" t="str">
        <v>1928.8</v>
      </c>
      <c r="Z79" t="str">
        <v>1724.6</v>
      </c>
      <c r="AA79" t="str">
        <v>1458.1</v>
      </c>
      <c r="AB79" t="str">
        <v>1219.6</v>
      </c>
      <c r="AC79" t="str">
        <v>996.4</v>
      </c>
      <c r="AD79" t="str">
        <v>708.2</v>
      </c>
      <c r="AE79" t="str">
        <v>-</v>
      </c>
      <c r="AF79" t="str">
        <v>3310.4</v>
      </c>
      <c r="AG79" t="str">
        <v>3024.4</v>
      </c>
      <c r="AH79" t="str">
        <v>2749.3</v>
      </c>
      <c r="AI79" t="str">
        <v>2471.6</v>
      </c>
      <c r="AJ79" t="str">
        <v>2187.8</v>
      </c>
      <c r="AK79" t="str">
        <v>1905.0</v>
      </c>
      <c r="AL79" t="str">
        <v>1688.8</v>
      </c>
      <c r="AM79" t="str">
        <v>1426.3</v>
      </c>
    </row>
    <row r="80">
      <c r="A80">
        <v>79</v>
      </c>
      <c r="B80" t="str">
        <v>金银珠宝类</v>
      </c>
      <c r="C80" t="str">
        <v xml:space="preserve">金银珠宝类商品零售类值累计增长 (%) </v>
      </c>
      <c r="D80" t="str">
        <v>-</v>
      </c>
      <c r="E80" t="str">
        <v>12.6</v>
      </c>
      <c r="F80" t="str">
        <v>13.0</v>
      </c>
      <c r="G80" t="str">
        <v>-</v>
      </c>
      <c r="H80" t="str">
        <v>12.8</v>
      </c>
      <c r="I80" t="str">
        <v>13.5</v>
      </c>
      <c r="J80" t="str">
        <v>14.0</v>
      </c>
      <c r="K80" t="str">
        <v>11.5</v>
      </c>
      <c r="L80" t="str">
        <v>11.7</v>
      </c>
      <c r="M80" t="str">
        <v>11.0</v>
      </c>
      <c r="N80" t="str">
        <v>11.3</v>
      </c>
      <c r="O80" t="str">
        <v>12.3</v>
      </c>
      <c r="P80" t="str">
        <v>10.4</v>
      </c>
      <c r="Q80" t="str">
        <v>6.9</v>
      </c>
      <c r="R80" t="str">
        <v>5.4</v>
      </c>
      <c r="S80" t="str">
        <v>-</v>
      </c>
      <c r="T80" t="str">
        <v>-3.1</v>
      </c>
      <c r="U80" t="str">
        <v>-3.3</v>
      </c>
      <c r="V80" t="str">
        <v>-3.0</v>
      </c>
      <c r="W80" t="str">
        <v>-3.1</v>
      </c>
      <c r="X80" t="str">
        <v>-2.5</v>
      </c>
      <c r="Y80" t="str">
        <v>-1.0</v>
      </c>
      <c r="Z80" t="str">
        <v>0.2</v>
      </c>
      <c r="AA80" t="str">
        <v>0.9</v>
      </c>
      <c r="AB80" t="str">
        <v>3.6</v>
      </c>
      <c r="AC80" t="str">
        <v>4.5</v>
      </c>
      <c r="AD80" t="str">
        <v>5.0</v>
      </c>
      <c r="AE80" t="str">
        <v>-</v>
      </c>
      <c r="AF80" t="str">
        <v>13.3</v>
      </c>
      <c r="AG80" t="str">
        <v>11.9</v>
      </c>
      <c r="AH80" t="str">
        <v>12.0</v>
      </c>
      <c r="AI80" t="str">
        <v>12.2</v>
      </c>
      <c r="AJ80" t="str">
        <v>12.8</v>
      </c>
      <c r="AK80" t="str">
        <v>13.6</v>
      </c>
      <c r="AL80" t="str">
        <v>17.5</v>
      </c>
      <c r="AM80" t="str">
        <v>19.5</v>
      </c>
    </row>
    <row r="81">
      <c r="A81">
        <v>80</v>
      </c>
      <c r="B81" t="str">
        <v>金银珠宝类</v>
      </c>
      <c r="C81" t="str">
        <v xml:space="preserve">金银珠宝类商品零售类值当期值 (亿元) </v>
      </c>
      <c r="D81" t="str">
        <v>-</v>
      </c>
      <c r="E81" t="str">
        <v>356.0</v>
      </c>
      <c r="F81" t="str">
        <v>-</v>
      </c>
      <c r="G81" t="str">
        <v>-</v>
      </c>
      <c r="H81" t="str">
        <v>327.9</v>
      </c>
      <c r="I81" t="str">
        <v>291.9</v>
      </c>
      <c r="J81" t="str">
        <v>366.8</v>
      </c>
      <c r="K81" t="str">
        <v>293.3</v>
      </c>
      <c r="L81" t="str">
        <v>305.8</v>
      </c>
      <c r="M81" t="str">
        <v>221.0</v>
      </c>
      <c r="N81" t="str">
        <v>286.8</v>
      </c>
      <c r="O81" t="str">
        <v>299.5</v>
      </c>
      <c r="P81" t="str">
        <v>296.5</v>
      </c>
      <c r="Q81" t="str">
        <v>324.8</v>
      </c>
      <c r="R81" t="str">
        <v>-</v>
      </c>
      <c r="S81" t="str">
        <v>-</v>
      </c>
      <c r="T81" t="str">
        <v>309.8</v>
      </c>
      <c r="U81" t="str">
        <v>268.2</v>
      </c>
      <c r="V81" t="str">
        <v>263.5</v>
      </c>
      <c r="W81" t="str">
        <v>263.6</v>
      </c>
      <c r="X81" t="str">
        <v>257.2</v>
      </c>
      <c r="Y81" t="str">
        <v>200.1</v>
      </c>
      <c r="Z81" t="str">
        <v>261.9</v>
      </c>
      <c r="AA81" t="str">
        <v>239.8</v>
      </c>
      <c r="AB81" t="str">
        <v>231.3</v>
      </c>
      <c r="AC81" t="str">
        <v>290.8</v>
      </c>
      <c r="AD81" t="str">
        <v>-</v>
      </c>
      <c r="AE81" t="str">
        <v>-</v>
      </c>
      <c r="AF81" t="str">
        <v>304.0</v>
      </c>
      <c r="AG81" t="str">
        <v>278.3</v>
      </c>
      <c r="AH81" t="str">
        <v>264.2</v>
      </c>
      <c r="AI81" t="str">
        <v>279.1</v>
      </c>
      <c r="AJ81" t="str">
        <v>283.3</v>
      </c>
      <c r="AK81" t="str">
        <v>218.4</v>
      </c>
      <c r="AL81" t="str">
        <v>267.5</v>
      </c>
      <c r="AM81" t="str">
        <v>265.6</v>
      </c>
    </row>
    <row r="82">
      <c r="A82">
        <v>81</v>
      </c>
      <c r="B82" t="str">
        <v>建筑及装潢材料类</v>
      </c>
      <c r="C82" t="str">
        <v xml:space="preserve">建筑及装潢材料类商品零售类值同比增长 (%) </v>
      </c>
      <c r="D82" t="str">
        <v>-</v>
      </c>
      <c r="E82" t="str">
        <v>-9.0</v>
      </c>
      <c r="F82" t="str">
        <v>-</v>
      </c>
      <c r="G82" t="str">
        <v>-</v>
      </c>
      <c r="H82" t="str">
        <v>-11.8</v>
      </c>
      <c r="I82" t="str">
        <v>-17.0</v>
      </c>
      <c r="J82" t="str">
        <v>-8.3</v>
      </c>
      <c r="K82" t="str">
        <v>-0.1</v>
      </c>
      <c r="L82" t="str">
        <v>-0.7</v>
      </c>
      <c r="M82" t="str">
        <v>-0.5</v>
      </c>
      <c r="N82" t="str">
        <v>1.0</v>
      </c>
      <c r="O82" t="str">
        <v>5.8</v>
      </c>
      <c r="P82" t="str">
        <v>9.7</v>
      </c>
      <c r="Q82" t="str">
        <v>-0.1</v>
      </c>
      <c r="R82" t="str">
        <v>-</v>
      </c>
      <c r="S82" t="str">
        <v>-</v>
      </c>
      <c r="T82" t="str">
        <v>0.8</v>
      </c>
      <c r="U82" t="str">
        <v>2.9</v>
      </c>
      <c r="V82" t="str">
        <v>-5.8</v>
      </c>
      <c r="W82" t="str">
        <v>-6.6</v>
      </c>
      <c r="X82" t="str">
        <v>-6.7</v>
      </c>
      <c r="Y82" t="str">
        <v>-2.1</v>
      </c>
      <c r="Z82" t="str">
        <v>-4.4</v>
      </c>
      <c r="AA82" t="str">
        <v>-4.5</v>
      </c>
      <c r="AB82" t="str">
        <v>-4.5</v>
      </c>
      <c r="AC82" t="str">
        <v>2.8</v>
      </c>
      <c r="AD82" t="str">
        <v>-</v>
      </c>
      <c r="AE82" t="str">
        <v>-</v>
      </c>
      <c r="AF82" t="str">
        <v>-7.5</v>
      </c>
      <c r="AG82" t="str">
        <v>-10.4</v>
      </c>
      <c r="AH82" t="str">
        <v>-4.8</v>
      </c>
      <c r="AI82" t="str">
        <v>-8.2</v>
      </c>
      <c r="AJ82" t="str">
        <v>-11.4</v>
      </c>
      <c r="AK82" t="str">
        <v>-11.2</v>
      </c>
      <c r="AL82" t="str">
        <v>-6.8</v>
      </c>
      <c r="AM82" t="str">
        <v>-14.6</v>
      </c>
    </row>
    <row r="83">
      <c r="A83">
        <v>82</v>
      </c>
      <c r="B83" t="str">
        <v>建筑及装潢材料类</v>
      </c>
      <c r="C83" t="str">
        <v xml:space="preserve">建筑及装潢材料类商品零售类值累计值 (亿元) </v>
      </c>
      <c r="D83" t="str">
        <v>-</v>
      </c>
      <c r="E83" t="str">
        <v>314.5</v>
      </c>
      <c r="F83" t="str">
        <v>204.0</v>
      </c>
      <c r="G83" t="str">
        <v>-</v>
      </c>
      <c r="H83" t="str">
        <v>1670.7</v>
      </c>
      <c r="I83" t="str">
        <v>1509.8</v>
      </c>
      <c r="J83" t="str">
        <v>1365.0</v>
      </c>
      <c r="K83" t="str">
        <v>1235.0</v>
      </c>
      <c r="L83" t="str">
        <v>1088.0</v>
      </c>
      <c r="M83" t="str">
        <v>959.9</v>
      </c>
      <c r="N83" t="str">
        <v>824.4</v>
      </c>
      <c r="O83" t="str">
        <v>663.3</v>
      </c>
      <c r="P83" t="str">
        <v>530.2</v>
      </c>
      <c r="Q83" t="str">
        <v>395.3</v>
      </c>
      <c r="R83" t="str">
        <v>245.6</v>
      </c>
      <c r="S83" t="str">
        <v>-</v>
      </c>
      <c r="T83" t="str">
        <v>1692.2</v>
      </c>
      <c r="U83" t="str">
        <v>1509.9</v>
      </c>
      <c r="V83" t="str">
        <v>1336.9</v>
      </c>
      <c r="W83" t="str">
        <v>1185.8</v>
      </c>
      <c r="X83" t="str">
        <v>1040.0</v>
      </c>
      <c r="Y83" t="str">
        <v>911.4</v>
      </c>
      <c r="Z83" t="str">
        <v>781.8</v>
      </c>
      <c r="AA83" t="str">
        <v>631.5</v>
      </c>
      <c r="AB83" t="str">
        <v>504.2</v>
      </c>
      <c r="AC83" t="str">
        <v>386.9</v>
      </c>
      <c r="AD83" t="str">
        <v>238.7</v>
      </c>
      <c r="AE83" t="str">
        <v>-</v>
      </c>
      <c r="AF83" t="str">
        <v>1569.4</v>
      </c>
      <c r="AG83" t="str">
        <v>1417.3</v>
      </c>
      <c r="AH83" t="str">
        <v>1267.6</v>
      </c>
      <c r="AI83" t="str">
        <v>1131.9</v>
      </c>
      <c r="AJ83" t="str">
        <v>982.3</v>
      </c>
      <c r="AK83" t="str">
        <v>852.9</v>
      </c>
      <c r="AL83" t="str">
        <v>735.3</v>
      </c>
      <c r="AM83" t="str">
        <v>582.8</v>
      </c>
    </row>
    <row r="84">
      <c r="A84">
        <v>83</v>
      </c>
      <c r="B84" t="str">
        <v>建筑及装潢材料类</v>
      </c>
      <c r="C84" t="str">
        <v xml:space="preserve">建筑及装潢材料类商品零售类值累计增长 (%) </v>
      </c>
      <c r="D84" t="str">
        <v>-</v>
      </c>
      <c r="E84" t="str">
        <v>-4.7</v>
      </c>
      <c r="F84" t="str">
        <v>-2.2</v>
      </c>
      <c r="G84" t="str">
        <v>-</v>
      </c>
      <c r="H84" t="str">
        <v>-2.7</v>
      </c>
      <c r="I84" t="str">
        <v>-1.5</v>
      </c>
      <c r="J84" t="str">
        <v>0.5</v>
      </c>
      <c r="K84" t="str">
        <v>1.6</v>
      </c>
      <c r="L84" t="str">
        <v>1.8</v>
      </c>
      <c r="M84" t="str">
        <v>2.2</v>
      </c>
      <c r="N84" t="str">
        <v>2.6</v>
      </c>
      <c r="O84" t="str">
        <v>3.0</v>
      </c>
      <c r="P84" t="str">
        <v>2.3</v>
      </c>
      <c r="Q84" t="str">
        <v>0.0</v>
      </c>
      <c r="R84" t="str">
        <v>0.1</v>
      </c>
      <c r="S84" t="str">
        <v>-</v>
      </c>
      <c r="T84" t="str">
        <v>-2.0</v>
      </c>
      <c r="U84" t="str">
        <v>-2.3</v>
      </c>
      <c r="V84" t="str">
        <v>-3.0</v>
      </c>
      <c r="W84" t="str">
        <v>-2.6</v>
      </c>
      <c r="X84" t="str">
        <v>-2.0</v>
      </c>
      <c r="Y84" t="str">
        <v>-1.3</v>
      </c>
      <c r="Z84" t="str">
        <v>-1.2</v>
      </c>
      <c r="AA84" t="str">
        <v>-0.4</v>
      </c>
      <c r="AB84" t="str">
        <v>0.6</v>
      </c>
      <c r="AC84" t="str">
        <v>2.4</v>
      </c>
      <c r="AD84" t="str">
        <v>2.1</v>
      </c>
      <c r="AE84" t="str">
        <v>-</v>
      </c>
      <c r="AF84" t="str">
        <v>-7.8</v>
      </c>
      <c r="AG84" t="str">
        <v>-7.8</v>
      </c>
      <c r="AH84" t="str">
        <v>-7.5</v>
      </c>
      <c r="AI84" t="str">
        <v>-7.9</v>
      </c>
      <c r="AJ84" t="str">
        <v>-7.8</v>
      </c>
      <c r="AK84" t="str">
        <v>-7.3</v>
      </c>
      <c r="AL84" t="str">
        <v>-6.7</v>
      </c>
      <c r="AM84" t="str">
        <v>-6.6</v>
      </c>
    </row>
    <row r="85">
      <c r="A85">
        <v>84</v>
      </c>
      <c r="B85" t="str">
        <v>建筑及装潢材料类</v>
      </c>
      <c r="C85" t="str">
        <v xml:space="preserve">建筑及装潢材料类商品零售类值当期值 (亿元) </v>
      </c>
      <c r="D85" t="str">
        <v>-</v>
      </c>
      <c r="E85" t="str">
        <v>111.9</v>
      </c>
      <c r="F85" t="str">
        <v>-</v>
      </c>
      <c r="G85" t="str">
        <v>-</v>
      </c>
      <c r="H85" t="str">
        <v>171.7</v>
      </c>
      <c r="I85" t="str">
        <v>149.3</v>
      </c>
      <c r="J85" t="str">
        <v>144.3</v>
      </c>
      <c r="K85" t="str">
        <v>147.4</v>
      </c>
      <c r="L85" t="str">
        <v>133.4</v>
      </c>
      <c r="M85" t="str">
        <v>135.0</v>
      </c>
      <c r="N85" t="str">
        <v>157.8</v>
      </c>
      <c r="O85" t="str">
        <v>137.5</v>
      </c>
      <c r="P85" t="str">
        <v>138.0</v>
      </c>
      <c r="Q85" t="str">
        <v>151.2</v>
      </c>
      <c r="R85" t="str">
        <v>-</v>
      </c>
      <c r="S85" t="str">
        <v>-</v>
      </c>
      <c r="T85" t="str">
        <v>185.8</v>
      </c>
      <c r="U85" t="str">
        <v>171.2</v>
      </c>
      <c r="V85" t="str">
        <v>149.6</v>
      </c>
      <c r="W85" t="str">
        <v>142.8</v>
      </c>
      <c r="X85" t="str">
        <v>128.8</v>
      </c>
      <c r="Y85" t="str">
        <v>130.2</v>
      </c>
      <c r="Z85" t="str">
        <v>150.5</v>
      </c>
      <c r="AA85" t="str">
        <v>124.5</v>
      </c>
      <c r="AB85" t="str">
        <v>120.5</v>
      </c>
      <c r="AC85" t="str">
        <v>148.1</v>
      </c>
      <c r="AD85" t="str">
        <v>-</v>
      </c>
      <c r="AE85" t="str">
        <v>-</v>
      </c>
      <c r="AF85" t="str">
        <v>169.6</v>
      </c>
      <c r="AG85" t="str">
        <v>154.0</v>
      </c>
      <c r="AH85" t="str">
        <v>147.4</v>
      </c>
      <c r="AI85" t="str">
        <v>143.0</v>
      </c>
      <c r="AJ85" t="str">
        <v>128.0</v>
      </c>
      <c r="AK85" t="str">
        <v>121.9</v>
      </c>
      <c r="AL85" t="str">
        <v>152.2</v>
      </c>
      <c r="AM85" t="str">
        <v>121.3</v>
      </c>
    </row>
    <row r="86">
      <c r="A86">
        <v>85</v>
      </c>
      <c r="B86" t="str">
        <v>家用电器和音像器材类</v>
      </c>
      <c r="C86" t="str">
        <v xml:space="preserve">家用电器和音像器材类商品零售类值同比增长 (%) </v>
      </c>
      <c r="D86" t="str">
        <v>-</v>
      </c>
      <c r="E86" t="str">
        <v>-5.0</v>
      </c>
      <c r="F86" t="str">
        <v>-</v>
      </c>
      <c r="G86" t="str">
        <v>-</v>
      </c>
      <c r="H86" t="str">
        <v>-18.7</v>
      </c>
      <c r="I86" t="str">
        <v>-19.4</v>
      </c>
      <c r="J86" t="str">
        <v>-14.6</v>
      </c>
      <c r="K86" t="str">
        <v>3.3</v>
      </c>
      <c r="L86" t="str">
        <v>14.3</v>
      </c>
      <c r="M86" t="str">
        <v>28.7</v>
      </c>
      <c r="N86" t="str">
        <v>32.4</v>
      </c>
      <c r="O86" t="str">
        <v>53.0</v>
      </c>
      <c r="P86" t="str">
        <v>38.8</v>
      </c>
      <c r="Q86" t="str">
        <v>35.1</v>
      </c>
      <c r="R86" t="str">
        <v>-</v>
      </c>
      <c r="S86" t="str">
        <v>-</v>
      </c>
      <c r="T86" t="str">
        <v>39.3</v>
      </c>
      <c r="U86" t="str">
        <v>22.2</v>
      </c>
      <c r="V86" t="str">
        <v>39.2</v>
      </c>
      <c r="W86" t="str">
        <v>20.5</v>
      </c>
      <c r="X86" t="str">
        <v>3.4</v>
      </c>
      <c r="Y86" t="str">
        <v>-2.4</v>
      </c>
      <c r="Z86" t="str">
        <v>-7.6</v>
      </c>
      <c r="AA86" t="str">
        <v>12.9</v>
      </c>
      <c r="AB86" t="str">
        <v>4.5</v>
      </c>
      <c r="AC86" t="str">
        <v>5.8</v>
      </c>
      <c r="AD86" t="str">
        <v>-</v>
      </c>
      <c r="AE86" t="str">
        <v>-</v>
      </c>
      <c r="AF86" t="str">
        <v>-0.1</v>
      </c>
      <c r="AG86" t="str">
        <v>2.7</v>
      </c>
      <c r="AH86" t="str">
        <v>9.6</v>
      </c>
      <c r="AI86" t="str">
        <v>-2.3</v>
      </c>
      <c r="AJ86" t="str">
        <v>-2.9</v>
      </c>
      <c r="AK86" t="str">
        <v>-5.5</v>
      </c>
      <c r="AL86" t="str">
        <v>4.5</v>
      </c>
      <c r="AM86" t="str">
        <v>0.1</v>
      </c>
    </row>
    <row r="87">
      <c r="A87">
        <v>86</v>
      </c>
      <c r="B87" t="str">
        <v>家用电器和音像器材类</v>
      </c>
      <c r="C87" t="str">
        <v xml:space="preserve">家用电器和音像器材类商品零售类值累计值 (亿元) </v>
      </c>
      <c r="D87" t="str">
        <v>-</v>
      </c>
      <c r="E87" t="str">
        <v>2513.7</v>
      </c>
      <c r="F87" t="str">
        <v>1571.8</v>
      </c>
      <c r="G87" t="str">
        <v>-</v>
      </c>
      <c r="H87" t="str">
        <v>11694.9</v>
      </c>
      <c r="I87" t="str">
        <v>10749.2</v>
      </c>
      <c r="J87" t="str">
        <v>9752.7</v>
      </c>
      <c r="K87" t="str">
        <v>8883.3</v>
      </c>
      <c r="L87" t="str">
        <v>7957.2</v>
      </c>
      <c r="M87" t="str">
        <v>7074.1</v>
      </c>
      <c r="N87" t="str">
        <v>6085.5</v>
      </c>
      <c r="O87" t="str">
        <v>4640.5</v>
      </c>
      <c r="P87" t="str">
        <v>3468.8</v>
      </c>
      <c r="Q87" t="str">
        <v>2542.5</v>
      </c>
      <c r="R87" t="str">
        <v>1536.6</v>
      </c>
      <c r="S87" t="str">
        <v>-</v>
      </c>
      <c r="T87" t="str">
        <v>10307.5</v>
      </c>
      <c r="U87" t="str">
        <v>9188.9</v>
      </c>
      <c r="V87" t="str">
        <v>7907.7</v>
      </c>
      <c r="W87" t="str">
        <v>6839.4</v>
      </c>
      <c r="X87" t="str">
        <v>5940.1</v>
      </c>
      <c r="Y87" t="str">
        <v>5220.9</v>
      </c>
      <c r="Z87" t="str">
        <v>4487.4</v>
      </c>
      <c r="AA87" t="str">
        <v>3420.7</v>
      </c>
      <c r="AB87" t="str">
        <v>2678.2</v>
      </c>
      <c r="AC87" t="str">
        <v>2053.1</v>
      </c>
      <c r="AD87" t="str">
        <v>1309.5</v>
      </c>
      <c r="AE87" t="str">
        <v>-</v>
      </c>
      <c r="AF87" t="str">
        <v>8718.7</v>
      </c>
      <c r="AG87" t="str">
        <v>7970.2</v>
      </c>
      <c r="AH87" t="str">
        <v>7025.5</v>
      </c>
      <c r="AI87" t="str">
        <v>6344.5</v>
      </c>
      <c r="AJ87" t="str">
        <v>5655.0</v>
      </c>
      <c r="AK87" t="str">
        <v>4993.0</v>
      </c>
      <c r="AL87" t="str">
        <v>4270.4</v>
      </c>
      <c r="AM87" t="str">
        <v>3133.4</v>
      </c>
    </row>
    <row r="88">
      <c r="A88">
        <v>87</v>
      </c>
      <c r="B88" t="str">
        <v>家用电器和音像器材类</v>
      </c>
      <c r="C88" t="str">
        <v xml:space="preserve">家用电器和音像器材类商品零售类值累计增长 (%) </v>
      </c>
      <c r="D88" t="str">
        <v>-</v>
      </c>
      <c r="E88" t="str">
        <v>0.0</v>
      </c>
      <c r="F88" t="str">
        <v>3.3</v>
      </c>
      <c r="G88" t="str">
        <v>-</v>
      </c>
      <c r="H88" t="str">
        <v>11.0</v>
      </c>
      <c r="I88" t="str">
        <v>14.8</v>
      </c>
      <c r="J88" t="str">
        <v>20.1</v>
      </c>
      <c r="K88" t="str">
        <v>25.3</v>
      </c>
      <c r="L88" t="str">
        <v>28.4</v>
      </c>
      <c r="M88" t="str">
        <v>30.4</v>
      </c>
      <c r="N88" t="str">
        <v>30.7</v>
      </c>
      <c r="O88" t="str">
        <v>30.2</v>
      </c>
      <c r="P88" t="str">
        <v>23.9</v>
      </c>
      <c r="Q88" t="str">
        <v>19.3</v>
      </c>
      <c r="R88" t="str">
        <v>10.9</v>
      </c>
      <c r="S88" t="str">
        <v>-</v>
      </c>
      <c r="T88" t="str">
        <v>12.3</v>
      </c>
      <c r="U88" t="str">
        <v>9.6</v>
      </c>
      <c r="V88" t="str">
        <v>7.8</v>
      </c>
      <c r="W88" t="str">
        <v>4.4</v>
      </c>
      <c r="X88" t="str">
        <v>2.5</v>
      </c>
      <c r="Y88" t="str">
        <v>2.3</v>
      </c>
      <c r="Z88" t="str">
        <v>3.1</v>
      </c>
      <c r="AA88" t="str">
        <v>7.0</v>
      </c>
      <c r="AB88" t="str">
        <v>5.5</v>
      </c>
      <c r="AC88" t="str">
        <v>5.8</v>
      </c>
      <c r="AD88" t="str">
        <v>5.7</v>
      </c>
      <c r="AE88" t="str">
        <v>-</v>
      </c>
      <c r="AF88" t="str">
        <v>0.5</v>
      </c>
      <c r="AG88" t="str">
        <v>0.6</v>
      </c>
      <c r="AH88" t="str">
        <v>0.3</v>
      </c>
      <c r="AI88" t="str">
        <v>-0.6</v>
      </c>
      <c r="AJ88" t="str">
        <v>-0.4</v>
      </c>
      <c r="AK88" t="str">
        <v>0.0</v>
      </c>
      <c r="AL88" t="str">
        <v>1.0</v>
      </c>
      <c r="AM88" t="str">
        <v>-0.2</v>
      </c>
    </row>
    <row r="89">
      <c r="A89">
        <v>88</v>
      </c>
      <c r="B89" t="str">
        <v>家用电器和音像器材类</v>
      </c>
      <c r="C89" t="str">
        <v xml:space="preserve">家用电器和音像器材类商品零售类值当期值 (亿元) </v>
      </c>
      <c r="D89" t="str">
        <v>-</v>
      </c>
      <c r="E89" t="str">
        <v>938.0</v>
      </c>
      <c r="F89" t="str">
        <v>-</v>
      </c>
      <c r="G89" t="str">
        <v>-</v>
      </c>
      <c r="H89" t="str">
        <v>971.1</v>
      </c>
      <c r="I89" t="str">
        <v>1000.3</v>
      </c>
      <c r="J89" t="str">
        <v>891.1</v>
      </c>
      <c r="K89" t="str">
        <v>904.3</v>
      </c>
      <c r="L89" t="str">
        <v>861.0</v>
      </c>
      <c r="M89" t="str">
        <v>978.3</v>
      </c>
      <c r="N89" t="str">
        <v>1403.3</v>
      </c>
      <c r="O89" t="str">
        <v>1166.2</v>
      </c>
      <c r="P89" t="str">
        <v>913.8</v>
      </c>
      <c r="Q89" t="str">
        <v>1000.7</v>
      </c>
      <c r="R89" t="str">
        <v>-</v>
      </c>
      <c r="S89" t="str">
        <v>-</v>
      </c>
      <c r="T89" t="str">
        <v>1132.5</v>
      </c>
      <c r="U89" t="str">
        <v>1200.0</v>
      </c>
      <c r="V89" t="str">
        <v>992.9</v>
      </c>
      <c r="W89" t="str">
        <v>841.3</v>
      </c>
      <c r="X89" t="str">
        <v>718.1</v>
      </c>
      <c r="Y89" t="str">
        <v>730.2</v>
      </c>
      <c r="Z89" t="str">
        <v>1063.7</v>
      </c>
      <c r="AA89" t="str">
        <v>742.9</v>
      </c>
      <c r="AB89" t="str">
        <v>641.2</v>
      </c>
      <c r="AC89" t="str">
        <v>737.1</v>
      </c>
      <c r="AD89" t="str">
        <v>-</v>
      </c>
      <c r="AE89" t="str">
        <v>-</v>
      </c>
      <c r="AF89" t="str">
        <v>772.5</v>
      </c>
      <c r="AG89" t="str">
        <v>946.1</v>
      </c>
      <c r="AH89" t="str">
        <v>684.5</v>
      </c>
      <c r="AI89" t="str">
        <v>673.1</v>
      </c>
      <c r="AJ89" t="str">
        <v>672.2</v>
      </c>
      <c r="AK89" t="str">
        <v>726.1</v>
      </c>
      <c r="AL89" t="str">
        <v>1137.5</v>
      </c>
      <c r="AM89" t="str">
        <v>641.8</v>
      </c>
    </row>
    <row r="90">
      <c r="A90">
        <v>89</v>
      </c>
      <c r="B90" t="str">
        <v>家具类</v>
      </c>
      <c r="C90" t="str">
        <v xml:space="preserve">家具类商品零售类值同比增长 (%) </v>
      </c>
      <c r="D90" t="str">
        <v>-</v>
      </c>
      <c r="E90" t="str">
        <v>-8.7</v>
      </c>
      <c r="F90" t="str">
        <v>-</v>
      </c>
      <c r="G90" t="str">
        <v>-</v>
      </c>
      <c r="H90" t="str">
        <v>-2.2</v>
      </c>
      <c r="I90" t="str">
        <v>-3.8</v>
      </c>
      <c r="J90" t="str">
        <v>9.6</v>
      </c>
      <c r="K90" t="str">
        <v>16.2</v>
      </c>
      <c r="L90" t="str">
        <v>18.6</v>
      </c>
      <c r="M90" t="str">
        <v>20.6</v>
      </c>
      <c r="N90" t="str">
        <v>28.7</v>
      </c>
      <c r="O90" t="str">
        <v>25.6</v>
      </c>
      <c r="P90" t="str">
        <v>26.9</v>
      </c>
      <c r="Q90" t="str">
        <v>29.5</v>
      </c>
      <c r="R90" t="str">
        <v>-</v>
      </c>
      <c r="S90" t="str">
        <v>-</v>
      </c>
      <c r="T90" t="str">
        <v>8.8</v>
      </c>
      <c r="U90" t="str">
        <v>10.5</v>
      </c>
      <c r="V90" t="str">
        <v>7.4</v>
      </c>
      <c r="W90" t="str">
        <v>0.4</v>
      </c>
      <c r="X90" t="str">
        <v>-3.7</v>
      </c>
      <c r="Y90" t="str">
        <v>-1.1</v>
      </c>
      <c r="Z90" t="str">
        <v>1.1</v>
      </c>
      <c r="AA90" t="str">
        <v>4.8</v>
      </c>
      <c r="AB90" t="str">
        <v>1.2</v>
      </c>
      <c r="AC90" t="str">
        <v>0.2</v>
      </c>
      <c r="AD90" t="str">
        <v>-</v>
      </c>
      <c r="AE90" t="str">
        <v>-</v>
      </c>
      <c r="AF90" t="str">
        <v>2.3</v>
      </c>
      <c r="AG90" t="str">
        <v>2.2</v>
      </c>
      <c r="AH90" t="str">
        <v>1.7</v>
      </c>
      <c r="AI90" t="str">
        <v>0.5</v>
      </c>
      <c r="AJ90" t="str">
        <v>4.8</v>
      </c>
      <c r="AK90" t="str">
        <v>0.1</v>
      </c>
      <c r="AL90" t="str">
        <v>1.2</v>
      </c>
      <c r="AM90" t="str">
        <v>5.0</v>
      </c>
    </row>
    <row r="91">
      <c r="A91">
        <v>90</v>
      </c>
      <c r="B91" t="str">
        <v>家具类</v>
      </c>
      <c r="C91" t="str">
        <v xml:space="preserve">家具类商品零售类值累计值 (亿元) </v>
      </c>
      <c r="D91" t="str">
        <v>-</v>
      </c>
      <c r="E91" t="str">
        <v>421.9</v>
      </c>
      <c r="F91" t="str">
        <v>275.5</v>
      </c>
      <c r="G91" t="str">
        <v>-</v>
      </c>
      <c r="H91" t="str">
        <v>2091.9</v>
      </c>
      <c r="I91" t="str">
        <v>1894.9</v>
      </c>
      <c r="J91" t="str">
        <v>1695.1</v>
      </c>
      <c r="K91" t="str">
        <v>1516.8</v>
      </c>
      <c r="L91" t="str">
        <v>1335.3</v>
      </c>
      <c r="M91" t="str">
        <v>1159.1</v>
      </c>
      <c r="N91" t="str">
        <v>982.1</v>
      </c>
      <c r="O91" t="str">
        <v>757.4</v>
      </c>
      <c r="P91" t="str">
        <v>583.4</v>
      </c>
      <c r="Q91" t="str">
        <v>428.9</v>
      </c>
      <c r="R91" t="str">
        <v>262.1</v>
      </c>
      <c r="S91" t="str">
        <v>-</v>
      </c>
      <c r="T91" t="str">
        <v>1691.1</v>
      </c>
      <c r="U91" t="str">
        <v>1504.9</v>
      </c>
      <c r="V91" t="str">
        <v>1303.0</v>
      </c>
      <c r="W91" t="str">
        <v>1142.8</v>
      </c>
      <c r="X91" t="str">
        <v>979.2</v>
      </c>
      <c r="Y91" t="str">
        <v>850.5</v>
      </c>
      <c r="Z91" t="str">
        <v>720.6</v>
      </c>
      <c r="AA91" t="str">
        <v>570.2</v>
      </c>
      <c r="AB91" t="str">
        <v>446.7</v>
      </c>
      <c r="AC91" t="str">
        <v>342.4</v>
      </c>
      <c r="AD91" t="str">
        <v>220.1</v>
      </c>
      <c r="AE91" t="str">
        <v>-</v>
      </c>
      <c r="AF91" t="str">
        <v>1516.2</v>
      </c>
      <c r="AG91" t="str">
        <v>1377.1</v>
      </c>
      <c r="AH91" t="str">
        <v>1221.5</v>
      </c>
      <c r="AI91" t="str">
        <v>1080.8</v>
      </c>
      <c r="AJ91" t="str">
        <v>941.0</v>
      </c>
      <c r="AK91" t="str">
        <v>811.0</v>
      </c>
      <c r="AL91" t="str">
        <v>685.0</v>
      </c>
      <c r="AM91" t="str">
        <v>537.5</v>
      </c>
    </row>
    <row r="92">
      <c r="A92">
        <v>91</v>
      </c>
      <c r="B92" t="str">
        <v>家具类</v>
      </c>
      <c r="C92" t="str">
        <v xml:space="preserve">家具类商品零售类值累计增长 (%) </v>
      </c>
      <c r="D92" t="str">
        <v>-</v>
      </c>
      <c r="E92" t="str">
        <v>1.9</v>
      </c>
      <c r="F92" t="str">
        <v>8.8</v>
      </c>
      <c r="G92" t="str">
        <v>-</v>
      </c>
      <c r="H92" t="str">
        <v>14.6</v>
      </c>
      <c r="I92" t="str">
        <v>16.9</v>
      </c>
      <c r="J92" t="str">
        <v>19.9</v>
      </c>
      <c r="K92" t="str">
        <v>21.3</v>
      </c>
      <c r="L92" t="str">
        <v>22.0</v>
      </c>
      <c r="M92" t="str">
        <v>22.6</v>
      </c>
      <c r="N92" t="str">
        <v>22.9</v>
      </c>
      <c r="O92" t="str">
        <v>21.4</v>
      </c>
      <c r="P92" t="str">
        <v>20.2</v>
      </c>
      <c r="Q92" t="str">
        <v>18.1</v>
      </c>
      <c r="R92" t="str">
        <v>11.7</v>
      </c>
      <c r="S92" t="str">
        <v>-</v>
      </c>
      <c r="T92" t="str">
        <v>3.6</v>
      </c>
      <c r="U92" t="str">
        <v>2.9</v>
      </c>
      <c r="V92" t="str">
        <v>1.9</v>
      </c>
      <c r="W92" t="str">
        <v>1.1</v>
      </c>
      <c r="X92" t="str">
        <v>1.3</v>
      </c>
      <c r="Y92" t="str">
        <v>2.0</v>
      </c>
      <c r="Z92" t="str">
        <v>2.6</v>
      </c>
      <c r="AA92" t="str">
        <v>3.0</v>
      </c>
      <c r="AB92" t="str">
        <v>2.5</v>
      </c>
      <c r="AC92" t="str">
        <v>3.0</v>
      </c>
      <c r="AD92" t="str">
        <v>4.6</v>
      </c>
      <c r="AE92" t="str">
        <v>-</v>
      </c>
      <c r="AF92" t="str">
        <v>2.8</v>
      </c>
      <c r="AG92" t="str">
        <v>2.8</v>
      </c>
      <c r="AH92" t="str">
        <v>2.9</v>
      </c>
      <c r="AI92" t="str">
        <v>3.1</v>
      </c>
      <c r="AJ92" t="str">
        <v>3.4</v>
      </c>
      <c r="AK92" t="str">
        <v>3.2</v>
      </c>
      <c r="AL92" t="str">
        <v>3.8</v>
      </c>
      <c r="AM92" t="str">
        <v>4.5</v>
      </c>
    </row>
    <row r="93">
      <c r="A93">
        <v>92</v>
      </c>
      <c r="B93" t="str">
        <v>家具类</v>
      </c>
      <c r="C93" t="str">
        <v xml:space="preserve">家具类商品零售类值当期值 (亿元) </v>
      </c>
      <c r="D93" t="str">
        <v>-</v>
      </c>
      <c r="E93" t="str">
        <v>149.3</v>
      </c>
      <c r="F93" t="str">
        <v>-</v>
      </c>
      <c r="G93" t="str">
        <v>-</v>
      </c>
      <c r="H93" t="str">
        <v>207.3</v>
      </c>
      <c r="I93" t="str">
        <v>195.4</v>
      </c>
      <c r="J93" t="str">
        <v>179.0</v>
      </c>
      <c r="K93" t="str">
        <v>175.6</v>
      </c>
      <c r="L93" t="str">
        <v>168.5</v>
      </c>
      <c r="M93" t="str">
        <v>169.9</v>
      </c>
      <c r="N93" t="str">
        <v>207.7</v>
      </c>
      <c r="O93" t="str">
        <v>170.1</v>
      </c>
      <c r="P93" t="str">
        <v>152.8</v>
      </c>
      <c r="Q93" t="str">
        <v>168.1</v>
      </c>
      <c r="R93" t="str">
        <v>-</v>
      </c>
      <c r="S93" t="str">
        <v>-</v>
      </c>
      <c r="T93" t="str">
        <v>193.6</v>
      </c>
      <c r="U93" t="str">
        <v>189.8</v>
      </c>
      <c r="V93" t="str">
        <v>151.9</v>
      </c>
      <c r="W93" t="str">
        <v>142.0</v>
      </c>
      <c r="X93" t="str">
        <v>129.0</v>
      </c>
      <c r="Y93" t="str">
        <v>129.0</v>
      </c>
      <c r="Z93" t="str">
        <v>148.1</v>
      </c>
      <c r="AA93" t="str">
        <v>123.4</v>
      </c>
      <c r="AB93" t="str">
        <v>109.9</v>
      </c>
      <c r="AC93" t="str">
        <v>121.0</v>
      </c>
      <c r="AD93" t="str">
        <v>-</v>
      </c>
      <c r="AE93" t="str">
        <v>-</v>
      </c>
      <c r="AF93" t="str">
        <v>164.8</v>
      </c>
      <c r="AG93" t="str">
        <v>163.6</v>
      </c>
      <c r="AH93" t="str">
        <v>137.4</v>
      </c>
      <c r="AI93" t="str">
        <v>138.0</v>
      </c>
      <c r="AJ93" t="str">
        <v>130.2</v>
      </c>
      <c r="AK93" t="str">
        <v>126.1</v>
      </c>
      <c r="AL93" t="str">
        <v>144.9</v>
      </c>
      <c r="AM93" t="str">
        <v>115.4</v>
      </c>
    </row>
    <row r="94">
      <c r="A94">
        <v>93</v>
      </c>
      <c r="B94" t="str">
        <v>化妆品类</v>
      </c>
      <c r="C94" t="str">
        <v xml:space="preserve">化妆品类商品零售类值同比增长 (%) </v>
      </c>
      <c r="D94" t="str">
        <v>-</v>
      </c>
      <c r="E94" t="str">
        <v>8.3</v>
      </c>
      <c r="F94" t="str">
        <v>-</v>
      </c>
      <c r="G94" t="str">
        <v>-</v>
      </c>
      <c r="H94" t="str">
        <v>8.8</v>
      </c>
      <c r="I94" t="str">
        <v>6.1</v>
      </c>
      <c r="J94" t="str">
        <v>9.6</v>
      </c>
      <c r="K94" t="str">
        <v>8.6</v>
      </c>
      <c r="L94" t="str">
        <v>5.1</v>
      </c>
      <c r="M94" t="str">
        <v>4.5</v>
      </c>
      <c r="N94" t="str">
        <v>-2.3</v>
      </c>
      <c r="O94" t="str">
        <v>4.4</v>
      </c>
      <c r="P94" t="str">
        <v>7.2</v>
      </c>
      <c r="Q94" t="str">
        <v>1.1</v>
      </c>
      <c r="R94" t="str">
        <v>-</v>
      </c>
      <c r="S94" t="str">
        <v>-</v>
      </c>
      <c r="T94" t="str">
        <v>0.8</v>
      </c>
      <c r="U94" t="str">
        <v>-26.4</v>
      </c>
      <c r="V94" t="str">
        <v>40.1</v>
      </c>
      <c r="W94" t="str">
        <v>-4.5</v>
      </c>
      <c r="X94" t="str">
        <v>-6.1</v>
      </c>
      <c r="Y94" t="str">
        <v>-6.1</v>
      </c>
      <c r="Z94" t="str">
        <v>-14.6</v>
      </c>
      <c r="AA94" t="str">
        <v>18.7</v>
      </c>
      <c r="AB94" t="str">
        <v>-2.7</v>
      </c>
      <c r="AC94" t="str">
        <v>2.2</v>
      </c>
      <c r="AD94" t="str">
        <v>-</v>
      </c>
      <c r="AE94" t="str">
        <v>-</v>
      </c>
      <c r="AF94" t="str">
        <v>9.7</v>
      </c>
      <c r="AG94" t="str">
        <v>-3.5</v>
      </c>
      <c r="AH94" t="str">
        <v>1.1</v>
      </c>
      <c r="AI94" t="str">
        <v>1.6</v>
      </c>
      <c r="AJ94" t="str">
        <v>9.7</v>
      </c>
      <c r="AK94" t="str">
        <v>-4.1</v>
      </c>
      <c r="AL94" t="str">
        <v>4.8</v>
      </c>
      <c r="AM94" t="str">
        <v>11.7</v>
      </c>
    </row>
    <row r="95">
      <c r="A95">
        <v>94</v>
      </c>
      <c r="B95" t="str">
        <v>化妆品类</v>
      </c>
      <c r="C95" t="str">
        <v xml:space="preserve">化妆品类商品零售类值累计值 (亿元) </v>
      </c>
      <c r="D95" t="str">
        <v>-</v>
      </c>
      <c r="E95" t="str">
        <v>1219.9</v>
      </c>
      <c r="F95" t="str">
        <v>753.1</v>
      </c>
      <c r="G95" t="str">
        <v>-</v>
      </c>
      <c r="H95" t="str">
        <v>4652.9</v>
      </c>
      <c r="I95" t="str">
        <v>4285.0</v>
      </c>
      <c r="J95" t="str">
        <v>3812.9</v>
      </c>
      <c r="K95" t="str">
        <v>3288.2</v>
      </c>
      <c r="L95" t="str">
        <v>2915.1</v>
      </c>
      <c r="M95" t="str">
        <v>2561.8</v>
      </c>
      <c r="N95" t="str">
        <v>2290.8</v>
      </c>
      <c r="O95" t="str">
        <v>1888.8</v>
      </c>
      <c r="P95" t="str">
        <v>1454.2</v>
      </c>
      <c r="Q95" t="str">
        <v>1148.6</v>
      </c>
      <c r="R95" t="str">
        <v>720.3</v>
      </c>
      <c r="S95" t="str">
        <v>-</v>
      </c>
      <c r="T95" t="str">
        <v>4356.5</v>
      </c>
      <c r="U95" t="str">
        <v>4014.6</v>
      </c>
      <c r="V95" t="str">
        <v>3562.6</v>
      </c>
      <c r="W95" t="str">
        <v>3068.5</v>
      </c>
      <c r="X95" t="str">
        <v>2729.7</v>
      </c>
      <c r="Y95" t="str">
        <v>2410.2</v>
      </c>
      <c r="Z95" t="str">
        <v>2168.1</v>
      </c>
      <c r="AA95" t="str">
        <v>1762.8</v>
      </c>
      <c r="AB95" t="str">
        <v>1356.5</v>
      </c>
      <c r="AC95" t="str">
        <v>1086.2</v>
      </c>
      <c r="AD95" t="str">
        <v>677.8</v>
      </c>
      <c r="AE95" t="str">
        <v>-</v>
      </c>
      <c r="AF95" t="str">
        <v>4141.7</v>
      </c>
      <c r="AG95" t="str">
        <v>3843.1</v>
      </c>
      <c r="AH95" t="str">
        <v>3291.3</v>
      </c>
      <c r="AI95" t="str">
        <v>2966.0</v>
      </c>
      <c r="AJ95" t="str">
        <v>2639.0</v>
      </c>
      <c r="AK95" t="str">
        <v>2315.3</v>
      </c>
      <c r="AL95" t="str">
        <v>2071.4</v>
      </c>
      <c r="AM95" t="str">
        <v>1618.8</v>
      </c>
    </row>
    <row r="96">
      <c r="A96">
        <v>95</v>
      </c>
      <c r="B96" t="str">
        <v>化妆品类</v>
      </c>
      <c r="C96" t="str">
        <v xml:space="preserve">化妆品类商品零售类值累计增长 (%) </v>
      </c>
      <c r="D96" t="str">
        <v>-</v>
      </c>
      <c r="E96" t="str">
        <v>5.9</v>
      </c>
      <c r="F96" t="str">
        <v>4.5</v>
      </c>
      <c r="G96" t="str">
        <v>-</v>
      </c>
      <c r="H96" t="str">
        <v>5.1</v>
      </c>
      <c r="I96" t="str">
        <v>4.8</v>
      </c>
      <c r="J96" t="str">
        <v>4.6</v>
      </c>
      <c r="K96" t="str">
        <v>3.9</v>
      </c>
      <c r="L96" t="str">
        <v>3.3</v>
      </c>
      <c r="M96" t="str">
        <v>3.1</v>
      </c>
      <c r="N96" t="str">
        <v>2.9</v>
      </c>
      <c r="O96" t="str">
        <v>4.1</v>
      </c>
      <c r="P96" t="str">
        <v>4.0</v>
      </c>
      <c r="Q96" t="str">
        <v>3.2</v>
      </c>
      <c r="R96" t="str">
        <v>4.4</v>
      </c>
      <c r="S96" t="str">
        <v>-</v>
      </c>
      <c r="T96" t="str">
        <v>-1.1</v>
      </c>
      <c r="U96" t="str">
        <v>-1.3</v>
      </c>
      <c r="V96" t="str">
        <v>3.0</v>
      </c>
      <c r="W96" t="str">
        <v>-1.0</v>
      </c>
      <c r="X96" t="str">
        <v>-0.5</v>
      </c>
      <c r="Y96" t="str">
        <v>0.3</v>
      </c>
      <c r="Z96" t="str">
        <v>1.0</v>
      </c>
      <c r="AA96" t="str">
        <v>5.4</v>
      </c>
      <c r="AB96" t="str">
        <v>2.1</v>
      </c>
      <c r="AC96" t="str">
        <v>3.4</v>
      </c>
      <c r="AD96" t="str">
        <v>4.0</v>
      </c>
      <c r="AE96" t="str">
        <v>-</v>
      </c>
      <c r="AF96" t="str">
        <v>5.1</v>
      </c>
      <c r="AG96" t="str">
        <v>4.7</v>
      </c>
      <c r="AH96" t="str">
        <v>6.2</v>
      </c>
      <c r="AI96" t="str">
        <v>6.8</v>
      </c>
      <c r="AJ96" t="str">
        <v>7.5</v>
      </c>
      <c r="AK96" t="str">
        <v>7.2</v>
      </c>
      <c r="AL96" t="str">
        <v>8.6</v>
      </c>
      <c r="AM96" t="str">
        <v>9.7</v>
      </c>
    </row>
    <row r="97">
      <c r="A97">
        <v>96</v>
      </c>
      <c r="B97" t="str">
        <v>化妆品类</v>
      </c>
      <c r="C97" t="str">
        <v xml:space="preserve">化妆品类商品零售类值当期值 (亿元) </v>
      </c>
      <c r="D97" t="str">
        <v>-</v>
      </c>
      <c r="E97" t="str">
        <v>463.5</v>
      </c>
      <c r="F97" t="str">
        <v>-</v>
      </c>
      <c r="G97" t="str">
        <v>-</v>
      </c>
      <c r="H97" t="str">
        <v>380.0</v>
      </c>
      <c r="I97" t="str">
        <v>467.8</v>
      </c>
      <c r="J97" t="str">
        <v>522.8</v>
      </c>
      <c r="K97" t="str">
        <v>368.4</v>
      </c>
      <c r="L97" t="str">
        <v>348.5</v>
      </c>
      <c r="M97" t="str">
        <v>265.1</v>
      </c>
      <c r="N97" t="str">
        <v>407.2</v>
      </c>
      <c r="O97" t="str">
        <v>434.6</v>
      </c>
      <c r="P97" t="str">
        <v>308.7</v>
      </c>
      <c r="Q97" t="str">
        <v>428.2</v>
      </c>
      <c r="R97" t="str">
        <v>-</v>
      </c>
      <c r="S97" t="str">
        <v>-</v>
      </c>
      <c r="T97" t="str">
        <v>344.7</v>
      </c>
      <c r="U97" t="str">
        <v>433.7</v>
      </c>
      <c r="V97" t="str">
        <v>468.4</v>
      </c>
      <c r="W97" t="str">
        <v>329.3</v>
      </c>
      <c r="X97" t="str">
        <v>319.0</v>
      </c>
      <c r="Y97" t="str">
        <v>245.4</v>
      </c>
      <c r="Z97" t="str">
        <v>404.6</v>
      </c>
      <c r="AA97" t="str">
        <v>405.5</v>
      </c>
      <c r="AB97" t="str">
        <v>278.4</v>
      </c>
      <c r="AC97" t="str">
        <v>411.0</v>
      </c>
      <c r="AD97" t="str">
        <v>-</v>
      </c>
      <c r="AE97" t="str">
        <v>-</v>
      </c>
      <c r="AF97" t="str">
        <v>322.8</v>
      </c>
      <c r="AG97" t="str">
        <v>548.5</v>
      </c>
      <c r="AH97" t="str">
        <v>317.4</v>
      </c>
      <c r="AI97" t="str">
        <v>325.7</v>
      </c>
      <c r="AJ97" t="str">
        <v>321.2</v>
      </c>
      <c r="AK97" t="str">
        <v>247.0</v>
      </c>
      <c r="AL97" t="str">
        <v>450.8</v>
      </c>
      <c r="AM97" t="str">
        <v>329.8</v>
      </c>
    </row>
    <row r="98">
      <c r="A98">
        <v>97</v>
      </c>
      <c r="B98" t="str">
        <v>服装鞋帽、针、纺织品类</v>
      </c>
      <c r="C98" t="str">
        <v xml:space="preserve">服装鞋帽、针、纺织品类商品零售类值同比增长 (%) </v>
      </c>
      <c r="D98" t="str">
        <v>-</v>
      </c>
      <c r="E98" t="str">
        <v>7.0</v>
      </c>
      <c r="F98" t="str">
        <v>-</v>
      </c>
      <c r="G98" t="str">
        <v>-</v>
      </c>
      <c r="H98" t="str">
        <v>0.6</v>
      </c>
      <c r="I98" t="str">
        <v>3.5</v>
      </c>
      <c r="J98" t="str">
        <v>6.3</v>
      </c>
      <c r="K98" t="str">
        <v>4.7</v>
      </c>
      <c r="L98" t="str">
        <v>3.1</v>
      </c>
      <c r="M98" t="str">
        <v>1.8</v>
      </c>
      <c r="N98" t="str">
        <v>1.9</v>
      </c>
      <c r="O98" t="str">
        <v>4.0</v>
      </c>
      <c r="P98" t="str">
        <v>2.2</v>
      </c>
      <c r="Q98" t="str">
        <v>3.6</v>
      </c>
      <c r="R98" t="str">
        <v>-</v>
      </c>
      <c r="S98" t="str">
        <v>-</v>
      </c>
      <c r="T98" t="str">
        <v>-0.3</v>
      </c>
      <c r="U98" t="str">
        <v>-4.5</v>
      </c>
      <c r="V98" t="str">
        <v>8.0</v>
      </c>
      <c r="W98" t="str">
        <v>-0.4</v>
      </c>
      <c r="X98" t="str">
        <v>-1.6</v>
      </c>
      <c r="Y98" t="str">
        <v>-5.2</v>
      </c>
      <c r="Z98" t="str">
        <v>-1.9</v>
      </c>
      <c r="AA98" t="str">
        <v>4.4</v>
      </c>
      <c r="AB98" t="str">
        <v>-2.0</v>
      </c>
      <c r="AC98" t="str">
        <v>3.8</v>
      </c>
      <c r="AD98" t="str">
        <v>-</v>
      </c>
      <c r="AE98" t="str">
        <v>-</v>
      </c>
      <c r="AF98" t="str">
        <v>26.0</v>
      </c>
      <c r="AG98" t="str">
        <v>22.0</v>
      </c>
      <c r="AH98" t="str">
        <v>7.5</v>
      </c>
      <c r="AI98" t="str">
        <v>9.9</v>
      </c>
      <c r="AJ98" t="str">
        <v>4.5</v>
      </c>
      <c r="AK98" t="str">
        <v>2.3</v>
      </c>
      <c r="AL98" t="str">
        <v>6.9</v>
      </c>
      <c r="AM98" t="str">
        <v>17.6</v>
      </c>
    </row>
    <row r="99">
      <c r="A99">
        <v>98</v>
      </c>
      <c r="B99" t="str">
        <v>服装鞋帽、针、纺织品类</v>
      </c>
      <c r="C99" t="str">
        <v xml:space="preserve">服装鞋帽、针、纺织品类商品零售类值累计值 (亿元) </v>
      </c>
      <c r="D99" t="str">
        <v>-</v>
      </c>
      <c r="E99" t="str">
        <v>4121.9</v>
      </c>
      <c r="F99" t="str">
        <v>2831.4</v>
      </c>
      <c r="G99" t="str">
        <v>-</v>
      </c>
      <c r="H99" t="str">
        <v>15214.6</v>
      </c>
      <c r="I99" t="str">
        <v>13596.7</v>
      </c>
      <c r="J99" t="str">
        <v>12052.8</v>
      </c>
      <c r="K99" t="str">
        <v>10612.7</v>
      </c>
      <c r="L99" t="str">
        <v>9400.4</v>
      </c>
      <c r="M99" t="str">
        <v>8370.7</v>
      </c>
      <c r="N99" t="str">
        <v>7425.9</v>
      </c>
      <c r="O99" t="str">
        <v>6138.4</v>
      </c>
      <c r="P99" t="str">
        <v>4938.8</v>
      </c>
      <c r="Q99" t="str">
        <v>3869.3</v>
      </c>
      <c r="R99" t="str">
        <v>2624.1</v>
      </c>
      <c r="S99" t="str">
        <v>-</v>
      </c>
      <c r="T99" t="str">
        <v>14690.5</v>
      </c>
      <c r="U99" t="str">
        <v>13073.1</v>
      </c>
      <c r="V99" t="str">
        <v>11570.8</v>
      </c>
      <c r="W99" t="str">
        <v>10224.7</v>
      </c>
      <c r="X99" t="str">
        <v>9046.4</v>
      </c>
      <c r="Y99" t="str">
        <v>8033.2</v>
      </c>
      <c r="Z99" t="str">
        <v>7098.3</v>
      </c>
      <c r="AA99" t="str">
        <v>5855.5</v>
      </c>
      <c r="AB99" t="str">
        <v>4716.9</v>
      </c>
      <c r="AC99" t="str">
        <v>3693.6</v>
      </c>
      <c r="AD99" t="str">
        <v>2521.0</v>
      </c>
      <c r="AE99" t="str">
        <v>-</v>
      </c>
      <c r="AF99" t="str">
        <v>14094.8</v>
      </c>
      <c r="AG99" t="str">
        <v>12595.3</v>
      </c>
      <c r="AH99" t="str">
        <v>11126.4</v>
      </c>
      <c r="AI99" t="str">
        <v>9935.2</v>
      </c>
      <c r="AJ99" t="str">
        <v>8760.4</v>
      </c>
      <c r="AK99" t="str">
        <v>7776.0</v>
      </c>
      <c r="AL99" t="str">
        <v>6834.3</v>
      </c>
      <c r="AM99" t="str">
        <v>5619.1</v>
      </c>
    </row>
    <row r="100">
      <c r="A100">
        <v>99</v>
      </c>
      <c r="B100" t="str">
        <v>服装鞋帽、针、纺织品类</v>
      </c>
      <c r="C100" t="str">
        <v xml:space="preserve">服装鞋帽、针、纺织品类商品零售类值累计增长 (%) </v>
      </c>
      <c r="D100" t="str">
        <v>-</v>
      </c>
      <c r="E100" t="str">
        <v>9.3</v>
      </c>
      <c r="F100" t="str">
        <v>10.4</v>
      </c>
      <c r="G100" t="str">
        <v>-</v>
      </c>
      <c r="H100" t="str">
        <v>3.2</v>
      </c>
      <c r="I100" t="str">
        <v>3.5</v>
      </c>
      <c r="J100" t="str">
        <v>3.5</v>
      </c>
      <c r="K100" t="str">
        <v>3.1</v>
      </c>
      <c r="L100" t="str">
        <v>2.9</v>
      </c>
      <c r="M100" t="str">
        <v>2.9</v>
      </c>
      <c r="N100" t="str">
        <v>3.1</v>
      </c>
      <c r="O100" t="str">
        <v>3.3</v>
      </c>
      <c r="P100" t="str">
        <v>3.1</v>
      </c>
      <c r="Q100" t="str">
        <v>3.4</v>
      </c>
      <c r="R100" t="str">
        <v>3.3</v>
      </c>
      <c r="S100" t="str">
        <v>-</v>
      </c>
      <c r="T100" t="str">
        <v>0.3</v>
      </c>
      <c r="U100" t="str">
        <v>0.4</v>
      </c>
      <c r="V100" t="str">
        <v>1.1</v>
      </c>
      <c r="W100" t="str">
        <v>0.2</v>
      </c>
      <c r="X100" t="str">
        <v>0.3</v>
      </c>
      <c r="Y100" t="str">
        <v>0.5</v>
      </c>
      <c r="Z100" t="str">
        <v>1.3</v>
      </c>
      <c r="AA100" t="str">
        <v>2.0</v>
      </c>
      <c r="AB100" t="str">
        <v>1.5</v>
      </c>
      <c r="AC100" t="str">
        <v>2.5</v>
      </c>
      <c r="AD100" t="str">
        <v>1.9</v>
      </c>
      <c r="AE100" t="str">
        <v>-</v>
      </c>
      <c r="AF100" t="str">
        <v>12.9</v>
      </c>
      <c r="AG100" t="str">
        <v>11.5</v>
      </c>
      <c r="AH100" t="str">
        <v>10.2</v>
      </c>
      <c r="AI100" t="str">
        <v>10.6</v>
      </c>
      <c r="AJ100" t="str">
        <v>10.6</v>
      </c>
      <c r="AK100" t="str">
        <v>11.4</v>
      </c>
      <c r="AL100" t="str">
        <v>12.8</v>
      </c>
      <c r="AM100" t="str">
        <v>14.1</v>
      </c>
    </row>
    <row r="101">
      <c r="A101">
        <v>100</v>
      </c>
      <c r="B101" t="str">
        <v>服装鞋帽、针、纺织品类</v>
      </c>
      <c r="C101" t="str">
        <v xml:space="preserve">服装鞋帽、针、纺织品类商品零售类值当期值 (亿元) </v>
      </c>
      <c r="D101" t="str">
        <v>-</v>
      </c>
      <c r="E101" t="str">
        <v>1295.5</v>
      </c>
      <c r="F101" t="str">
        <v>-</v>
      </c>
      <c r="G101" t="str">
        <v>-</v>
      </c>
      <c r="H101" t="str">
        <v>1661.0</v>
      </c>
      <c r="I101" t="str">
        <v>1541.6</v>
      </c>
      <c r="J101" t="str">
        <v>1470.8</v>
      </c>
      <c r="K101" t="str">
        <v>1230.5</v>
      </c>
      <c r="L101" t="str">
        <v>1045.1</v>
      </c>
      <c r="M101" t="str">
        <v>961.3</v>
      </c>
      <c r="N101" t="str">
        <v>1275.4</v>
      </c>
      <c r="O101" t="str">
        <v>1225.4</v>
      </c>
      <c r="P101" t="str">
        <v>1087.8</v>
      </c>
      <c r="Q101" t="str">
        <v>1240.5</v>
      </c>
      <c r="R101" t="str">
        <v>-</v>
      </c>
      <c r="S101" t="str">
        <v>-</v>
      </c>
      <c r="T101" t="str">
        <v>1629.4</v>
      </c>
      <c r="U101" t="str">
        <v>1480.5</v>
      </c>
      <c r="V101" t="str">
        <v>1346.5</v>
      </c>
      <c r="W101" t="str">
        <v>1168.8</v>
      </c>
      <c r="X101" t="str">
        <v>994.0</v>
      </c>
      <c r="Y101" t="str">
        <v>935.7</v>
      </c>
      <c r="Z101" t="str">
        <v>1236.8</v>
      </c>
      <c r="AA101" t="str">
        <v>1147.6</v>
      </c>
      <c r="AB101" t="str">
        <v>1048.3</v>
      </c>
      <c r="AC101" t="str">
        <v>1181.6</v>
      </c>
      <c r="AD101" t="str">
        <v>-</v>
      </c>
      <c r="AE101" t="str">
        <v>-</v>
      </c>
      <c r="AF101" t="str">
        <v>1576.2</v>
      </c>
      <c r="AG101" t="str">
        <v>1502.5</v>
      </c>
      <c r="AH101" t="str">
        <v>1207.1</v>
      </c>
      <c r="AI101" t="str">
        <v>1139.3</v>
      </c>
      <c r="AJ101" t="str">
        <v>981.7</v>
      </c>
      <c r="AK101" t="str">
        <v>961.4</v>
      </c>
      <c r="AL101" t="str">
        <v>1238.3</v>
      </c>
      <c r="AM101" t="str">
        <v>1075.8</v>
      </c>
    </row>
    <row r="102">
      <c r="A102">
        <v>101</v>
      </c>
      <c r="B102" t="str">
        <v>服装鞋帽、针、纺织品类</v>
      </c>
      <c r="C102" t="str">
        <v xml:space="preserve">服装类商品零售类值同比增长 (%) </v>
      </c>
      <c r="D102" t="str">
        <v>-</v>
      </c>
      <c r="E102" t="str">
        <v>6.6</v>
      </c>
      <c r="F102" t="str">
        <v>-</v>
      </c>
      <c r="G102" t="str">
        <v>-</v>
      </c>
      <c r="H102" t="str">
        <v>1.2</v>
      </c>
      <c r="I102" t="str">
        <v>4.5</v>
      </c>
      <c r="J102" t="str">
        <v>6.8</v>
      </c>
      <c r="K102" t="str">
        <v>3.6</v>
      </c>
      <c r="L102" t="str">
        <v>1.9</v>
      </c>
      <c r="M102" t="str">
        <v>0.2</v>
      </c>
      <c r="N102" t="str">
        <v>1.7</v>
      </c>
      <c r="O102" t="str">
        <v>3.5</v>
      </c>
      <c r="P102" t="str">
        <v>1.5</v>
      </c>
      <c r="Q102" t="str">
        <v>3.0</v>
      </c>
      <c r="R102" t="str">
        <v>-</v>
      </c>
      <c r="S102" t="str">
        <v>-</v>
      </c>
      <c r="T102" t="str">
        <v>0.4</v>
      </c>
      <c r="U102" t="str">
        <v>-4.5</v>
      </c>
      <c r="V102" t="str">
        <v>7.2</v>
      </c>
      <c r="W102" t="str">
        <v>-0.3</v>
      </c>
      <c r="X102" t="str">
        <v>-1.9</v>
      </c>
      <c r="Y102" t="str">
        <v>-5.6</v>
      </c>
      <c r="Z102" t="str">
        <v>-2.2</v>
      </c>
      <c r="AA102" t="str">
        <v>3.2</v>
      </c>
      <c r="AB102" t="str">
        <v>-3.0</v>
      </c>
      <c r="AC102" t="str">
        <v>3.6</v>
      </c>
      <c r="AD102" t="str">
        <v>-</v>
      </c>
      <c r="AE102" t="str">
        <v>-</v>
      </c>
      <c r="AF102" t="str">
        <v>30.5</v>
      </c>
      <c r="AG102" t="str">
        <v>25.9</v>
      </c>
      <c r="AH102" t="str">
        <v>8.7</v>
      </c>
      <c r="AI102" t="str">
        <v>12.0</v>
      </c>
      <c r="AJ102" t="str">
        <v>5.7</v>
      </c>
      <c r="AK102" t="str">
        <v>2.6</v>
      </c>
      <c r="AL102" t="str">
        <v>7.2</v>
      </c>
      <c r="AM102" t="str">
        <v>21.2</v>
      </c>
    </row>
    <row r="103">
      <c r="A103">
        <v>102</v>
      </c>
      <c r="B103" t="str">
        <v>服装鞋帽、针、纺织品类</v>
      </c>
      <c r="C103" t="str">
        <v xml:space="preserve">服装类商品零售类值累计值 (亿元) </v>
      </c>
      <c r="D103" t="str">
        <v>-</v>
      </c>
      <c r="E103" t="str">
        <v>3032.6</v>
      </c>
      <c r="F103" t="str">
        <v>2112.5</v>
      </c>
      <c r="G103" t="str">
        <v>-</v>
      </c>
      <c r="H103" t="str">
        <v>11044.5</v>
      </c>
      <c r="I103" t="str">
        <v>9809.5</v>
      </c>
      <c r="J103" t="str">
        <v>8645.4</v>
      </c>
      <c r="K103" t="str">
        <v>7590.2</v>
      </c>
      <c r="L103" t="str">
        <v>6708.3</v>
      </c>
      <c r="M103" t="str">
        <v>5992.4</v>
      </c>
      <c r="N103" t="str">
        <v>5341.3</v>
      </c>
      <c r="O103" t="str">
        <v>4435.4</v>
      </c>
      <c r="P103" t="str">
        <v>3598.5</v>
      </c>
      <c r="Q103" t="str">
        <v>2835.1</v>
      </c>
      <c r="R103" t="str">
        <v>1947.1</v>
      </c>
      <c r="S103" t="str">
        <v>-</v>
      </c>
      <c r="T103" t="str">
        <v>10716.2</v>
      </c>
      <c r="U103" t="str">
        <v>9493.0</v>
      </c>
      <c r="V103" t="str">
        <v>8377.3</v>
      </c>
      <c r="W103" t="str">
        <v>7390.9</v>
      </c>
      <c r="X103" t="str">
        <v>6544.6</v>
      </c>
      <c r="Y103" t="str">
        <v>5818.8</v>
      </c>
      <c r="Z103" t="str">
        <v>5156.3</v>
      </c>
      <c r="AA103" t="str">
        <v>4278.0</v>
      </c>
      <c r="AB103" t="str">
        <v>3468.7</v>
      </c>
      <c r="AC103" t="str">
        <v>2732.3</v>
      </c>
      <c r="AD103" t="str">
        <v>1887.3</v>
      </c>
      <c r="AE103" t="str">
        <v>-</v>
      </c>
      <c r="AF103" t="str">
        <v>10352.9</v>
      </c>
      <c r="AG103" t="str">
        <v>9225.0</v>
      </c>
      <c r="AH103" t="str">
        <v>8143.4</v>
      </c>
      <c r="AI103" t="str">
        <v>7257.0</v>
      </c>
      <c r="AJ103" t="str">
        <v>6395.0</v>
      </c>
      <c r="AK103" t="str">
        <v>5688.1</v>
      </c>
      <c r="AL103" t="str">
        <v>5016.7</v>
      </c>
      <c r="AM103" t="str">
        <v>4148.4</v>
      </c>
    </row>
    <row r="104">
      <c r="A104">
        <v>103</v>
      </c>
      <c r="B104" t="str">
        <v>服装鞋帽、针、纺织品类</v>
      </c>
      <c r="C104" t="str">
        <v xml:space="preserve">服装类商品零售类值累计增长 (%) </v>
      </c>
      <c r="D104" t="str">
        <v>-</v>
      </c>
      <c r="E104" t="str">
        <v>9.4</v>
      </c>
      <c r="F104" t="str">
        <v>10.7</v>
      </c>
      <c r="G104" t="str">
        <v>-</v>
      </c>
      <c r="H104" t="str">
        <v>2.8</v>
      </c>
      <c r="I104" t="str">
        <v>3.1</v>
      </c>
      <c r="J104" t="str">
        <v>2.9</v>
      </c>
      <c r="K104" t="str">
        <v>2.4</v>
      </c>
      <c r="L104" t="str">
        <v>2.2</v>
      </c>
      <c r="M104" t="str">
        <v>2.2</v>
      </c>
      <c r="N104" t="str">
        <v>2.5</v>
      </c>
      <c r="O104" t="str">
        <v>2.6</v>
      </c>
      <c r="P104" t="str">
        <v>2.5</v>
      </c>
      <c r="Q104" t="str">
        <v>2.7</v>
      </c>
      <c r="R104" t="str">
        <v>2.6</v>
      </c>
      <c r="S104" t="str">
        <v>-</v>
      </c>
      <c r="T104" t="str">
        <v>0.1</v>
      </c>
      <c r="U104" t="str">
        <v>0.0</v>
      </c>
      <c r="V104" t="str">
        <v>0.6</v>
      </c>
      <c r="W104" t="str">
        <v>-0.2</v>
      </c>
      <c r="X104" t="str">
        <v>-0.2</v>
      </c>
      <c r="Y104" t="str">
        <v>0.1</v>
      </c>
      <c r="Z104" t="str">
        <v>0.8</v>
      </c>
      <c r="AA104" t="str">
        <v>1.4</v>
      </c>
      <c r="AB104" t="str">
        <v>1.0</v>
      </c>
      <c r="AC104" t="str">
        <v>2.2</v>
      </c>
      <c r="AD104" t="str">
        <v>1.6</v>
      </c>
      <c r="AE104" t="str">
        <v>-</v>
      </c>
      <c r="AF104" t="str">
        <v>15.4</v>
      </c>
      <c r="AG104" t="str">
        <v>13.8</v>
      </c>
      <c r="AH104" t="str">
        <v>12.3</v>
      </c>
      <c r="AI104" t="str">
        <v>12.8</v>
      </c>
      <c r="AJ104" t="str">
        <v>12.9</v>
      </c>
      <c r="AK104" t="str">
        <v>13.8</v>
      </c>
      <c r="AL104" t="str">
        <v>15.5</v>
      </c>
      <c r="AM104" t="str">
        <v>17.4</v>
      </c>
    </row>
    <row r="105">
      <c r="A105">
        <v>104</v>
      </c>
      <c r="B105" t="str">
        <v>服装鞋帽、针、纺织品类</v>
      </c>
      <c r="C105" t="str">
        <v xml:space="preserve">服装类商品零售类值当期值 (亿元) </v>
      </c>
      <c r="D105" t="str">
        <v>-</v>
      </c>
      <c r="E105" t="str">
        <v>921.1</v>
      </c>
      <c r="F105" t="str">
        <v>-</v>
      </c>
      <c r="G105" t="str">
        <v>-</v>
      </c>
      <c r="H105" t="str">
        <v>1262.1</v>
      </c>
      <c r="I105" t="str">
        <v>1157.6</v>
      </c>
      <c r="J105" t="str">
        <v>1075.1</v>
      </c>
      <c r="K105" t="str">
        <v>881.7</v>
      </c>
      <c r="L105" t="str">
        <v>727.1</v>
      </c>
      <c r="M105" t="str">
        <v>668.5</v>
      </c>
      <c r="N105" t="str">
        <v>898.2</v>
      </c>
      <c r="O105" t="str">
        <v>857.6</v>
      </c>
      <c r="P105" t="str">
        <v>776.3</v>
      </c>
      <c r="Q105" t="str">
        <v>883.5</v>
      </c>
      <c r="R105" t="str">
        <v>-</v>
      </c>
      <c r="S105" t="str">
        <v>-</v>
      </c>
      <c r="T105" t="str">
        <v>1228.6</v>
      </c>
      <c r="U105" t="str">
        <v>1095.5</v>
      </c>
      <c r="V105" t="str">
        <v>991.9</v>
      </c>
      <c r="W105" t="str">
        <v>844.5</v>
      </c>
      <c r="X105" t="str">
        <v>707.8</v>
      </c>
      <c r="Y105" t="str">
        <v>660.1</v>
      </c>
      <c r="Z105" t="str">
        <v>873.3</v>
      </c>
      <c r="AA105" t="str">
        <v>815.0</v>
      </c>
      <c r="AB105" t="str">
        <v>753.3</v>
      </c>
      <c r="AC105" t="str">
        <v>851.2</v>
      </c>
      <c r="AD105" t="str">
        <v>-</v>
      </c>
      <c r="AE105" t="str">
        <v>-</v>
      </c>
      <c r="AF105" t="str">
        <v>1179.9</v>
      </c>
      <c r="AG105" t="str">
        <v>1111.8</v>
      </c>
      <c r="AH105" t="str">
        <v>897.7</v>
      </c>
      <c r="AI105" t="str">
        <v>825.1</v>
      </c>
      <c r="AJ105" t="str">
        <v>704.6</v>
      </c>
      <c r="AK105" t="str">
        <v>683.2</v>
      </c>
      <c r="AL105" t="str">
        <v>879.9</v>
      </c>
      <c r="AM105" t="str">
        <v>775.6</v>
      </c>
    </row>
  </sheetData>
  <ignoredErrors>
    <ignoredError numberStoredAsText="1" sqref="A1:AM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中西药品类商品零售类值同比增长 (%) </v>
      </c>
      <c r="B2" t="str">
        <v>-</v>
      </c>
      <c r="C2" t="str">
        <v>5.7</v>
      </c>
      <c r="D2" t="str">
        <v>-</v>
      </c>
      <c r="E2" t="str">
        <v>-</v>
      </c>
      <c r="F2" t="str">
        <v>1.2</v>
      </c>
      <c r="G2" t="str">
        <v>4.9</v>
      </c>
      <c r="H2" t="str">
        <v>3.6</v>
      </c>
      <c r="I2" t="str">
        <v>1.9</v>
      </c>
      <c r="J2" t="str">
        <v>0.9</v>
      </c>
      <c r="K2" t="str">
        <v>0.1</v>
      </c>
      <c r="L2" t="str">
        <v>-0.7</v>
      </c>
      <c r="M2" t="str">
        <v>0.3</v>
      </c>
      <c r="N2" t="str">
        <v>2.6</v>
      </c>
      <c r="O2" t="str">
        <v>1.4</v>
      </c>
      <c r="P2" t="str">
        <v>-</v>
      </c>
      <c r="Q2" t="str">
        <v>-</v>
      </c>
      <c r="R2" t="str">
        <v>-0.9</v>
      </c>
      <c r="S2" t="str">
        <v>-2.7</v>
      </c>
      <c r="T2" t="str">
        <v>1.4</v>
      </c>
      <c r="U2" t="str">
        <v>5.4</v>
      </c>
      <c r="V2" t="str">
        <v>4.3</v>
      </c>
      <c r="W2" t="str">
        <v>5.8</v>
      </c>
      <c r="X2" t="str">
        <v>4.5</v>
      </c>
      <c r="Y2" t="str">
        <v>4.3</v>
      </c>
      <c r="Z2" t="str">
        <v>7.8</v>
      </c>
      <c r="AA2" t="str">
        <v>5.9</v>
      </c>
      <c r="AB2" t="str">
        <v>-</v>
      </c>
      <c r="AC2" t="str">
        <v>-</v>
      </c>
      <c r="AD2" t="str">
        <v>-18.0</v>
      </c>
      <c r="AE2" t="str">
        <v>7.1</v>
      </c>
      <c r="AF2" t="str">
        <v>8.2</v>
      </c>
      <c r="AG2" t="str">
        <v>4.5</v>
      </c>
      <c r="AH2" t="str">
        <v>3.7</v>
      </c>
      <c r="AI2" t="str">
        <v>3.7</v>
      </c>
      <c r="AJ2" t="str">
        <v>6.6</v>
      </c>
      <c r="AK2" t="str">
        <v>7.1</v>
      </c>
    </row>
    <row r="3">
      <c r="A3" t="str">
        <v xml:space="preserve">中西药品类商品零售类值累计值 (亿元) </v>
      </c>
      <c r="B3" t="str">
        <v>-</v>
      </c>
      <c r="C3" t="str">
        <v>1824.3</v>
      </c>
      <c r="D3" t="str">
        <v>1156.3</v>
      </c>
      <c r="E3" t="str">
        <v>-</v>
      </c>
      <c r="F3" t="str">
        <v>7293.7</v>
      </c>
      <c r="G3" t="str">
        <v>6603.9</v>
      </c>
      <c r="H3" t="str">
        <v>5955.2</v>
      </c>
      <c r="I3" t="str">
        <v>5350.6</v>
      </c>
      <c r="J3" t="str">
        <v>4717.0</v>
      </c>
      <c r="K3" t="str">
        <v>4160.9</v>
      </c>
      <c r="L3" t="str">
        <v>3610.7</v>
      </c>
      <c r="M3" t="str">
        <v>2986.9</v>
      </c>
      <c r="N3" t="str">
        <v>2405.8</v>
      </c>
      <c r="O3" t="str">
        <v>1826.8</v>
      </c>
      <c r="P3" t="str">
        <v>1175.9</v>
      </c>
      <c r="Q3" t="str">
        <v>-</v>
      </c>
      <c r="R3" t="str">
        <v>7156.7</v>
      </c>
      <c r="S3" t="str">
        <v>6467.3</v>
      </c>
      <c r="T3" t="str">
        <v>5815.1</v>
      </c>
      <c r="U3" t="str">
        <v>5235.1</v>
      </c>
      <c r="V3" t="str">
        <v>4637.4</v>
      </c>
      <c r="W3" t="str">
        <v>4078.0</v>
      </c>
      <c r="X3" t="str">
        <v>3533.6</v>
      </c>
      <c r="Y3" t="str">
        <v>2913.7</v>
      </c>
      <c r="Z3" t="str">
        <v>2337.5</v>
      </c>
      <c r="AA3" t="str">
        <v>1770.6</v>
      </c>
      <c r="AB3" t="str">
        <v>1135.9</v>
      </c>
      <c r="AC3" t="str">
        <v>-</v>
      </c>
      <c r="AD3" t="str">
        <v>6709.8</v>
      </c>
      <c r="AE3" t="str">
        <v>6095.0</v>
      </c>
      <c r="AF3" t="str">
        <v>5467.9</v>
      </c>
      <c r="AG3" t="str">
        <v>4914.2</v>
      </c>
      <c r="AH3" t="str">
        <v>4334.0</v>
      </c>
      <c r="AI3" t="str">
        <v>3820.1</v>
      </c>
      <c r="AJ3" t="str">
        <v>3321.0</v>
      </c>
      <c r="AK3" t="str">
        <v>2722.0</v>
      </c>
    </row>
    <row r="4">
      <c r="A4" t="str">
        <v xml:space="preserve">中西药品类商品零售类值累计增长 (%) </v>
      </c>
      <c r="B4" t="str">
        <v>-</v>
      </c>
      <c r="C4" t="str">
        <v>2.4</v>
      </c>
      <c r="D4" t="str">
        <v>0.7</v>
      </c>
      <c r="E4" t="str">
        <v>-</v>
      </c>
      <c r="F4" t="str">
        <v>1.8</v>
      </c>
      <c r="G4" t="str">
        <v>1.8</v>
      </c>
      <c r="H4" t="str">
        <v>1.5</v>
      </c>
      <c r="I4" t="str">
        <v>1.3</v>
      </c>
      <c r="J4" t="str">
        <v>1.2</v>
      </c>
      <c r="K4" t="str">
        <v>1.2</v>
      </c>
      <c r="L4" t="str">
        <v>1.4</v>
      </c>
      <c r="M4" t="str">
        <v>1.8</v>
      </c>
      <c r="N4" t="str">
        <v>2.2</v>
      </c>
      <c r="O4" t="str">
        <v>2.1</v>
      </c>
      <c r="P4" t="str">
        <v>2.5</v>
      </c>
      <c r="Q4" t="str">
        <v>-</v>
      </c>
      <c r="R4" t="str">
        <v>3.1</v>
      </c>
      <c r="S4" t="str">
        <v>3.6</v>
      </c>
      <c r="T4" t="str">
        <v>4.3</v>
      </c>
      <c r="U4" t="str">
        <v>4.7</v>
      </c>
      <c r="V4" t="str">
        <v>4.6</v>
      </c>
      <c r="W4" t="str">
        <v>4.6</v>
      </c>
      <c r="X4" t="str">
        <v>4.4</v>
      </c>
      <c r="Y4" t="str">
        <v>4.4</v>
      </c>
      <c r="Z4" t="str">
        <v>4.4</v>
      </c>
      <c r="AA4" t="str">
        <v>3.3</v>
      </c>
      <c r="AB4" t="str">
        <v>2.0</v>
      </c>
      <c r="AC4" t="str">
        <v>-</v>
      </c>
      <c r="AD4" t="str">
        <v>5.1</v>
      </c>
      <c r="AE4" t="str">
        <v>8.5</v>
      </c>
      <c r="AF4" t="str">
        <v>8.7</v>
      </c>
      <c r="AG4" t="str">
        <v>8.7</v>
      </c>
      <c r="AH4" t="str">
        <v>9.3</v>
      </c>
      <c r="AI4" t="str">
        <v>10.1</v>
      </c>
      <c r="AJ4" t="str">
        <v>11.1</v>
      </c>
      <c r="AK4" t="str">
        <v>12.0</v>
      </c>
    </row>
    <row r="5">
      <c r="A5" t="str">
        <v xml:space="preserve">中西药品类商品零售类值当期值 (亿元) </v>
      </c>
      <c r="B5" t="str">
        <v>-</v>
      </c>
      <c r="C5" t="str">
        <v>667.9</v>
      </c>
      <c r="D5" t="str">
        <v>-</v>
      </c>
      <c r="E5" t="str">
        <v>-</v>
      </c>
      <c r="F5" t="str">
        <v>710.7</v>
      </c>
      <c r="G5" t="str">
        <v>660.4</v>
      </c>
      <c r="H5" t="str">
        <v>612.1</v>
      </c>
      <c r="I5" t="str">
        <v>636.6</v>
      </c>
      <c r="J5" t="str">
        <v>571.9</v>
      </c>
      <c r="K5" t="str">
        <v>558.5</v>
      </c>
      <c r="L5" t="str">
        <v>629.0</v>
      </c>
      <c r="M5" t="str">
        <v>588.2</v>
      </c>
      <c r="N5" t="str">
        <v>588.4</v>
      </c>
      <c r="O5" t="str">
        <v>649.8</v>
      </c>
      <c r="P5" t="str">
        <v>-</v>
      </c>
      <c r="Q5" t="str">
        <v>-</v>
      </c>
      <c r="R5" t="str">
        <v>695.0</v>
      </c>
      <c r="S5" t="str">
        <v>622.3</v>
      </c>
      <c r="T5" t="str">
        <v>583.1</v>
      </c>
      <c r="U5" t="str">
        <v>615.4</v>
      </c>
      <c r="V5" t="str">
        <v>556.8</v>
      </c>
      <c r="W5" t="str">
        <v>547.9</v>
      </c>
      <c r="X5" t="str">
        <v>626.3</v>
      </c>
      <c r="Y5" t="str">
        <v>577.3</v>
      </c>
      <c r="Z5" t="str">
        <v>565.0</v>
      </c>
      <c r="AA5" t="str">
        <v>633.8</v>
      </c>
      <c r="AB5" t="str">
        <v>-</v>
      </c>
      <c r="AC5" t="str">
        <v>-</v>
      </c>
      <c r="AD5" t="str">
        <v>681.7</v>
      </c>
      <c r="AE5" t="str">
        <v>626.6</v>
      </c>
      <c r="AF5" t="str">
        <v>564.3</v>
      </c>
      <c r="AG5" t="str">
        <v>574.0</v>
      </c>
      <c r="AH5" t="str">
        <v>522.9</v>
      </c>
      <c r="AI5" t="str">
        <v>508.7</v>
      </c>
      <c r="AJ5" t="str">
        <v>591.7</v>
      </c>
      <c r="AK5" t="str">
        <v>544.9</v>
      </c>
    </row>
  </sheetData>
  <ignoredErrors>
    <ignoredError numberStoredAsText="1" sqref="A1:A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文化办公用品类商品零售类值同比增长 (%) </v>
      </c>
      <c r="B2" t="str">
        <v>-</v>
      </c>
      <c r="C2" t="str">
        <v>15.0</v>
      </c>
      <c r="D2" t="str">
        <v>-</v>
      </c>
      <c r="E2" t="str">
        <v>-</v>
      </c>
      <c r="F2" t="str">
        <v>9.2</v>
      </c>
      <c r="G2" t="str">
        <v>11.7</v>
      </c>
      <c r="H2" t="str">
        <v>13.5</v>
      </c>
      <c r="I2" t="str">
        <v>6.2</v>
      </c>
      <c r="J2" t="str">
        <v>14.2</v>
      </c>
      <c r="K2" t="str">
        <v>13.8</v>
      </c>
      <c r="L2" t="str">
        <v>24.4</v>
      </c>
      <c r="M2" t="str">
        <v>30.5</v>
      </c>
      <c r="N2" t="str">
        <v>33.5</v>
      </c>
      <c r="O2" t="str">
        <v>21.5</v>
      </c>
      <c r="P2" t="str">
        <v>-</v>
      </c>
      <c r="Q2" t="str">
        <v>-</v>
      </c>
      <c r="R2" t="str">
        <v>9.1</v>
      </c>
      <c r="S2" t="str">
        <v>-5.9</v>
      </c>
      <c r="T2" t="str">
        <v>18.0</v>
      </c>
      <c r="U2" t="str">
        <v>10.0</v>
      </c>
      <c r="V2" t="str">
        <v>-1.9</v>
      </c>
      <c r="W2" t="str">
        <v>-2.4</v>
      </c>
      <c r="X2" t="str">
        <v>-8.5</v>
      </c>
      <c r="Y2" t="str">
        <v>4.3</v>
      </c>
      <c r="Z2" t="str">
        <v>-4.4</v>
      </c>
      <c r="AA2" t="str">
        <v>-6.6</v>
      </c>
      <c r="AB2" t="str">
        <v>-</v>
      </c>
      <c r="AC2" t="str">
        <v>-</v>
      </c>
      <c r="AD2" t="str">
        <v>-9.0</v>
      </c>
      <c r="AE2" t="str">
        <v>-8.2</v>
      </c>
      <c r="AF2" t="str">
        <v>7.7</v>
      </c>
      <c r="AG2" t="str">
        <v>-13.6</v>
      </c>
      <c r="AH2" t="str">
        <v>-8.4</v>
      </c>
      <c r="AI2" t="str">
        <v>-13.1</v>
      </c>
      <c r="AJ2" t="str">
        <v>-9.9</v>
      </c>
      <c r="AK2" t="str">
        <v>-1.2</v>
      </c>
    </row>
    <row r="3">
      <c r="A3" t="str">
        <v xml:space="preserve">文化办公用品类商品零售类值累计值 (亿元) </v>
      </c>
      <c r="B3" t="str">
        <v>-</v>
      </c>
      <c r="C3" t="str">
        <v>1161.5</v>
      </c>
      <c r="D3" t="str">
        <v>693.7</v>
      </c>
      <c r="E3" t="str">
        <v>-</v>
      </c>
      <c r="F3" t="str">
        <v>5238.9</v>
      </c>
      <c r="G3" t="str">
        <v>4745.9</v>
      </c>
      <c r="H3" t="str">
        <v>4212.4</v>
      </c>
      <c r="I3" t="str">
        <v>3702.4</v>
      </c>
      <c r="J3" t="str">
        <v>3218.9</v>
      </c>
      <c r="K3" t="str">
        <v>2782.8</v>
      </c>
      <c r="L3" t="str">
        <v>2406.2</v>
      </c>
      <c r="M3" t="str">
        <v>1864.7</v>
      </c>
      <c r="N3" t="str">
        <v>1458.3</v>
      </c>
      <c r="O3" t="str">
        <v>1101.4</v>
      </c>
      <c r="P3" t="str">
        <v>676.3</v>
      </c>
      <c r="Q3" t="str">
        <v>-</v>
      </c>
      <c r="R3" t="str">
        <v>4327.4</v>
      </c>
      <c r="S3" t="str">
        <v>3880.5</v>
      </c>
      <c r="T3" t="str">
        <v>3419.8</v>
      </c>
      <c r="U3" t="str">
        <v>2967.5</v>
      </c>
      <c r="V3" t="str">
        <v>2514.8</v>
      </c>
      <c r="W3" t="str">
        <v>2154.0</v>
      </c>
      <c r="X3" t="str">
        <v>1838.5</v>
      </c>
      <c r="Y3" t="str">
        <v>1421.7</v>
      </c>
      <c r="Z3" t="str">
        <v>1128.7</v>
      </c>
      <c r="AA3" t="str">
        <v>871.6</v>
      </c>
      <c r="AB3" t="str">
        <v>542.9</v>
      </c>
      <c r="AC3" t="str">
        <v>-</v>
      </c>
      <c r="AD3" t="str">
        <v>4126.0</v>
      </c>
      <c r="AE3" t="str">
        <v>3742.9</v>
      </c>
      <c r="AF3" t="str">
        <v>3284.5</v>
      </c>
      <c r="AG3" t="str">
        <v>2929.2</v>
      </c>
      <c r="AH3" t="str">
        <v>2542.7</v>
      </c>
      <c r="AI3" t="str">
        <v>2199.0</v>
      </c>
      <c r="AJ3" t="str">
        <v>1895.1</v>
      </c>
      <c r="AK3" t="str">
        <v>1452.0</v>
      </c>
    </row>
    <row r="4">
      <c r="A4" t="str">
        <v xml:space="preserve">文化办公用品类商品零售类值累计增长 (%) </v>
      </c>
      <c r="B4" t="str">
        <v>-</v>
      </c>
      <c r="C4" t="str">
        <v>9.3</v>
      </c>
      <c r="D4" t="str">
        <v>5.8</v>
      </c>
      <c r="E4" t="str">
        <v>-</v>
      </c>
      <c r="F4" t="str">
        <v>17.3</v>
      </c>
      <c r="G4" t="str">
        <v>18.2</v>
      </c>
      <c r="H4" t="str">
        <v>19.1</v>
      </c>
      <c r="I4" t="str">
        <v>19.9</v>
      </c>
      <c r="J4" t="str">
        <v>22.3</v>
      </c>
      <c r="K4" t="str">
        <v>23.7</v>
      </c>
      <c r="L4" t="str">
        <v>25.4</v>
      </c>
      <c r="M4" t="str">
        <v>25.7</v>
      </c>
      <c r="N4" t="str">
        <v>24.4</v>
      </c>
      <c r="O4" t="str">
        <v>21.7</v>
      </c>
      <c r="P4" t="str">
        <v>21.8</v>
      </c>
      <c r="Q4" t="str">
        <v>-</v>
      </c>
      <c r="R4" t="str">
        <v>-0.3</v>
      </c>
      <c r="S4" t="str">
        <v>-1.3</v>
      </c>
      <c r="T4" t="str">
        <v>-0.6</v>
      </c>
      <c r="U4" t="str">
        <v>-2.9</v>
      </c>
      <c r="V4" t="str">
        <v>-4.9</v>
      </c>
      <c r="W4" t="str">
        <v>-5.3</v>
      </c>
      <c r="X4" t="str">
        <v>-5.8</v>
      </c>
      <c r="Y4" t="str">
        <v>-5.0</v>
      </c>
      <c r="Z4" t="str">
        <v>-7.2</v>
      </c>
      <c r="AA4" t="str">
        <v>-8.0</v>
      </c>
      <c r="AB4" t="str">
        <v>-8.8</v>
      </c>
      <c r="AC4" t="str">
        <v>-</v>
      </c>
      <c r="AD4" t="str">
        <v>-6.1</v>
      </c>
      <c r="AE4" t="str">
        <v>-5.8</v>
      </c>
      <c r="AF4" t="str">
        <v>-5.5</v>
      </c>
      <c r="AG4" t="str">
        <v>-6.8</v>
      </c>
      <c r="AH4" t="str">
        <v>-5.7</v>
      </c>
      <c r="AI4" t="str">
        <v>-5.3</v>
      </c>
      <c r="AJ4" t="str">
        <v>-3.9</v>
      </c>
      <c r="AK4" t="str">
        <v>-2.0</v>
      </c>
    </row>
    <row r="5">
      <c r="A5" t="str">
        <v xml:space="preserve">文化办公用品类商品零售类值当期值 (亿元) </v>
      </c>
      <c r="B5" t="str">
        <v>-</v>
      </c>
      <c r="C5" t="str">
        <v>470.3</v>
      </c>
      <c r="D5" t="str">
        <v>-</v>
      </c>
      <c r="E5" t="str">
        <v>-</v>
      </c>
      <c r="F5" t="str">
        <v>506.5</v>
      </c>
      <c r="G5" t="str">
        <v>524.1</v>
      </c>
      <c r="H5" t="str">
        <v>515.7</v>
      </c>
      <c r="I5" t="str">
        <v>485.1</v>
      </c>
      <c r="J5" t="str">
        <v>430.1</v>
      </c>
      <c r="K5" t="str">
        <v>373.3</v>
      </c>
      <c r="L5" t="str">
        <v>533.4</v>
      </c>
      <c r="M5" t="str">
        <v>398.8</v>
      </c>
      <c r="N5" t="str">
        <v>358.6</v>
      </c>
      <c r="O5" t="str">
        <v>421.2</v>
      </c>
      <c r="P5" t="str">
        <v>-</v>
      </c>
      <c r="Q5" t="str">
        <v>-</v>
      </c>
      <c r="R5" t="str">
        <v>450.4</v>
      </c>
      <c r="S5" t="str">
        <v>452.8</v>
      </c>
      <c r="T5" t="str">
        <v>437.7</v>
      </c>
      <c r="U5" t="str">
        <v>441.0</v>
      </c>
      <c r="V5" t="str">
        <v>361.6</v>
      </c>
      <c r="W5" t="str">
        <v>311.8</v>
      </c>
      <c r="X5" t="str">
        <v>413.6</v>
      </c>
      <c r="Y5" t="str">
        <v>294.0</v>
      </c>
      <c r="Z5" t="str">
        <v>258.3</v>
      </c>
      <c r="AA5" t="str">
        <v>330.4</v>
      </c>
      <c r="AB5" t="str">
        <v>-</v>
      </c>
      <c r="AC5" t="str">
        <v>-</v>
      </c>
      <c r="AD5" t="str">
        <v>392.8</v>
      </c>
      <c r="AE5" t="str">
        <v>459.6</v>
      </c>
      <c r="AF5" t="str">
        <v>353.1</v>
      </c>
      <c r="AG5" t="str">
        <v>384.1</v>
      </c>
      <c r="AH5" t="str">
        <v>352.6</v>
      </c>
      <c r="AI5" t="str">
        <v>305.2</v>
      </c>
      <c r="AJ5" t="str">
        <v>440.7</v>
      </c>
      <c r="AK5" t="str">
        <v>270.0</v>
      </c>
    </row>
  </sheetData>
  <ignoredErrors>
    <ignoredError numberStoredAsText="1" sqref="A1:A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K10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>用类商品网上零售额累计增长（%）</v>
      </c>
      <c r="B2" t="str">
        <v>-</v>
      </c>
      <c r="C2" t="str">
        <v>3.6</v>
      </c>
      <c r="D2" t="str">
        <v>4.7</v>
      </c>
      <c r="E2" t="str">
        <v>-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  <c r="AA2" t="str">
        <v>-</v>
      </c>
      <c r="AB2" t="str">
        <v>-</v>
      </c>
      <c r="AC2" t="str">
        <v>-</v>
      </c>
      <c r="AD2" t="str">
        <v>-</v>
      </c>
      <c r="AE2" t="str">
        <v>-</v>
      </c>
      <c r="AF2" t="str">
        <v>-</v>
      </c>
      <c r="AG2" t="str">
        <v>-</v>
      </c>
      <c r="AH2" t="str">
        <v>-</v>
      </c>
      <c r="AI2" t="str">
        <v>-</v>
      </c>
      <c r="AJ2" t="str">
        <v>-</v>
      </c>
      <c r="AK2" t="str">
        <v>-</v>
      </c>
    </row>
    <row r="3">
      <c r="A3" t="str">
        <v>网上商品零售额累计值（亿元）</v>
      </c>
      <c r="B3" t="str">
        <v>-</v>
      </c>
      <c r="C3" t="str">
        <v>31614.1</v>
      </c>
      <c r="D3" t="str">
        <v>20812.0</v>
      </c>
      <c r="E3" t="str">
        <v>-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  <c r="U3" t="str">
        <v>-</v>
      </c>
      <c r="V3" t="str">
        <v>-</v>
      </c>
      <c r="W3" t="str">
        <v>-</v>
      </c>
      <c r="X3" t="str">
        <v>-</v>
      </c>
      <c r="Y3" t="str">
        <v>-</v>
      </c>
      <c r="Z3" t="str">
        <v>-</v>
      </c>
      <c r="AA3" t="str">
        <v>-</v>
      </c>
      <c r="AB3" t="str">
        <v>-</v>
      </c>
      <c r="AC3" t="str">
        <v>-</v>
      </c>
      <c r="AD3" t="str">
        <v>-</v>
      </c>
      <c r="AE3" t="str">
        <v>-</v>
      </c>
      <c r="AF3" t="str">
        <v>-</v>
      </c>
      <c r="AG3" t="str">
        <v>-</v>
      </c>
      <c r="AH3" t="str">
        <v>-</v>
      </c>
      <c r="AI3" t="str">
        <v>-</v>
      </c>
      <c r="AJ3" t="str">
        <v>-</v>
      </c>
      <c r="AK3" t="str">
        <v>-</v>
      </c>
    </row>
    <row r="4">
      <c r="A4" t="str">
        <v>网上商品零售额累计增长（%）</v>
      </c>
      <c r="B4" t="str">
        <v>-</v>
      </c>
      <c r="C4" t="str">
        <v>7.5</v>
      </c>
      <c r="D4" t="str">
        <v>10.3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  <c r="U4" t="str">
        <v>-</v>
      </c>
      <c r="V4" t="str">
        <v>-</v>
      </c>
      <c r="W4" t="str">
        <v>-</v>
      </c>
      <c r="X4" t="str">
        <v>-</v>
      </c>
      <c r="Y4" t="str">
        <v>-</v>
      </c>
      <c r="Z4" t="str">
        <v>-</v>
      </c>
      <c r="AA4" t="str">
        <v>-</v>
      </c>
      <c r="AB4" t="str">
        <v>-</v>
      </c>
      <c r="AC4" t="str">
        <v>-</v>
      </c>
      <c r="AD4" t="str">
        <v>-</v>
      </c>
      <c r="AE4" t="str">
        <v>-</v>
      </c>
      <c r="AF4" t="str">
        <v>-</v>
      </c>
      <c r="AG4" t="str">
        <v>-</v>
      </c>
      <c r="AH4" t="str">
        <v>-</v>
      </c>
      <c r="AI4" t="str">
        <v>-</v>
      </c>
      <c r="AJ4" t="str">
        <v>-</v>
      </c>
      <c r="AK4" t="str">
        <v>-</v>
      </c>
    </row>
    <row r="5">
      <c r="A5" t="str">
        <v>网上商品和服务零售额累计值（亿元）</v>
      </c>
      <c r="B5" t="str">
        <v>-</v>
      </c>
      <c r="C5" t="str">
        <v>49773.8</v>
      </c>
      <c r="D5" t="str">
        <v>32545.8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  <c r="U5" t="str">
        <v>-</v>
      </c>
      <c r="V5" t="str">
        <v>-</v>
      </c>
      <c r="W5" t="str">
        <v>-</v>
      </c>
      <c r="X5" t="str">
        <v>-</v>
      </c>
      <c r="Y5" t="str">
        <v>-</v>
      </c>
      <c r="Z5" t="str">
        <v>-</v>
      </c>
      <c r="AA5" t="str">
        <v>-</v>
      </c>
      <c r="AB5" t="str">
        <v>-</v>
      </c>
      <c r="AC5" t="str">
        <v>-</v>
      </c>
      <c r="AD5" t="str">
        <v>-</v>
      </c>
      <c r="AE5" t="str">
        <v>-</v>
      </c>
      <c r="AF5" t="str">
        <v>-</v>
      </c>
      <c r="AG5" t="str">
        <v>-</v>
      </c>
      <c r="AH5" t="str">
        <v>-</v>
      </c>
      <c r="AI5" t="str">
        <v>-</v>
      </c>
      <c r="AJ5" t="str">
        <v>-</v>
      </c>
      <c r="AK5" t="str">
        <v>-</v>
      </c>
    </row>
    <row r="6">
      <c r="A6" t="str">
        <v>网上商品和服务零售额累计增长（%）</v>
      </c>
      <c r="B6" t="str">
        <v>-</v>
      </c>
      <c r="C6" t="str">
        <v>8.0</v>
      </c>
      <c r="D6" t="str">
        <v>9.2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  <c r="AD6" t="str">
        <v>-</v>
      </c>
      <c r="AE6" t="str">
        <v>-</v>
      </c>
      <c r="AF6" t="str">
        <v>-</v>
      </c>
      <c r="AG6" t="str">
        <v>-</v>
      </c>
      <c r="AH6" t="str">
        <v>-</v>
      </c>
      <c r="AI6" t="str">
        <v>-</v>
      </c>
      <c r="AJ6" t="str">
        <v>-</v>
      </c>
      <c r="AK6" t="str">
        <v>-</v>
      </c>
    </row>
    <row r="7">
      <c r="A7" t="str">
        <v>网上服务零售额累计值（亿元）</v>
      </c>
      <c r="B7" t="str">
        <v>-</v>
      </c>
      <c r="C7" t="str">
        <v>18159.7</v>
      </c>
      <c r="D7" t="str">
        <v>11733.8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  <c r="U7" t="str">
        <v>-</v>
      </c>
      <c r="V7" t="str">
        <v>-</v>
      </c>
      <c r="W7" t="str">
        <v>-</v>
      </c>
      <c r="X7" t="str">
        <v>-</v>
      </c>
      <c r="Y7" t="str">
        <v>-</v>
      </c>
      <c r="Z7" t="str">
        <v>-</v>
      </c>
      <c r="AA7" t="str">
        <v>-</v>
      </c>
      <c r="AB7" t="str">
        <v>-</v>
      </c>
      <c r="AC7" t="str">
        <v>-</v>
      </c>
      <c r="AD7" t="str">
        <v>-</v>
      </c>
      <c r="AE7" t="str">
        <v>-</v>
      </c>
      <c r="AF7" t="str">
        <v>-</v>
      </c>
      <c r="AG7" t="str">
        <v>-</v>
      </c>
      <c r="AH7" t="str">
        <v>-</v>
      </c>
      <c r="AI7" t="str">
        <v>-</v>
      </c>
      <c r="AJ7" t="str">
        <v>-</v>
      </c>
      <c r="AK7" t="str">
        <v>-</v>
      </c>
    </row>
    <row r="8">
      <c r="A8" t="str">
        <v>网上服务零售额累计增长（%）</v>
      </c>
      <c r="B8" t="str">
        <v>-</v>
      </c>
      <c r="C8" t="str">
        <v>8.8</v>
      </c>
      <c r="D8" t="str">
        <v>7.3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t="str">
        <v>-</v>
      </c>
      <c r="AE8" t="str">
        <v>-</v>
      </c>
      <c r="AF8" t="str">
        <v>-</v>
      </c>
      <c r="AG8" t="str">
        <v>-</v>
      </c>
      <c r="AH8" t="str">
        <v>-</v>
      </c>
      <c r="AI8" t="str">
        <v>-</v>
      </c>
      <c r="AJ8" t="str">
        <v>-</v>
      </c>
      <c r="AK8" t="str">
        <v>-</v>
      </c>
    </row>
    <row r="9">
      <c r="A9" t="str">
        <v>穿类商品网上零售额累计增长（%）</v>
      </c>
      <c r="B9" t="str">
        <v>-</v>
      </c>
      <c r="C9" t="str">
        <v>11.6</v>
      </c>
      <c r="D9" t="str">
        <v>18.0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 t="str">
        <v>-</v>
      </c>
      <c r="Z9" t="str">
        <v>-</v>
      </c>
      <c r="AA9" t="str">
        <v>-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-</v>
      </c>
      <c r="AH9" t="str">
        <v>-</v>
      </c>
      <c r="AI9" t="str">
        <v>-</v>
      </c>
      <c r="AJ9" t="str">
        <v>-</v>
      </c>
      <c r="AK9" t="str">
        <v>-</v>
      </c>
    </row>
    <row r="10">
      <c r="A10" t="str">
        <v>吃类商品网上零售额累计增长（%）</v>
      </c>
      <c r="B10" t="str">
        <v>-</v>
      </c>
      <c r="C10" t="str">
        <v>17.2</v>
      </c>
      <c r="D10" t="str">
        <v>20.7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-</v>
      </c>
      <c r="AB10" t="str">
        <v>-</v>
      </c>
      <c r="AC10" t="str">
        <v>-</v>
      </c>
      <c r="AD10" t="str">
        <v>-</v>
      </c>
      <c r="AE10" t="str">
        <v>-</v>
      </c>
      <c r="AF10" t="str">
        <v>-</v>
      </c>
      <c r="AG10" t="str">
        <v>-</v>
      </c>
      <c r="AH10" t="str">
        <v>-</v>
      </c>
      <c r="AI10" t="str">
        <v>-</v>
      </c>
      <c r="AJ10" t="str">
        <v>-</v>
      </c>
      <c r="AK10" t="str">
        <v>-</v>
      </c>
    </row>
  </sheetData>
  <ignoredErrors>
    <ignoredError numberStoredAsText="1" sqref="A1:AK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K8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>用类实物商品网上零售额累计增长（%）</v>
      </c>
      <c r="B2" t="str">
        <v>-</v>
      </c>
      <c r="C2" t="str">
        <v>-</v>
      </c>
      <c r="D2" t="str">
        <v>-</v>
      </c>
      <c r="E2" t="str">
        <v>-</v>
      </c>
      <c r="F2" t="str">
        <v>4.1</v>
      </c>
      <c r="G2" t="str">
        <v>4.4</v>
      </c>
      <c r="H2" t="str">
        <v>5.1</v>
      </c>
      <c r="I2" t="str">
        <v>5.7</v>
      </c>
      <c r="J2" t="str">
        <v>5.7</v>
      </c>
      <c r="K2" t="str">
        <v>5.8</v>
      </c>
      <c r="L2" t="str">
        <v>5.3</v>
      </c>
      <c r="M2" t="str">
        <v>6.1</v>
      </c>
      <c r="N2" t="str">
        <v>5.5</v>
      </c>
      <c r="O2" t="str">
        <v>5.6</v>
      </c>
      <c r="P2" t="str">
        <v>5.4</v>
      </c>
      <c r="Q2" t="str">
        <v>-</v>
      </c>
      <c r="R2" t="str">
        <v>6.3</v>
      </c>
      <c r="S2" t="str">
        <v>6.3</v>
      </c>
      <c r="T2" t="str">
        <v>7.7</v>
      </c>
      <c r="U2" t="str">
        <v>7.2</v>
      </c>
      <c r="V2" t="str">
        <v>7.0</v>
      </c>
      <c r="W2" t="str">
        <v>7.5</v>
      </c>
      <c r="X2" t="str">
        <v>7.8</v>
      </c>
      <c r="Y2" t="str">
        <v>10.8</v>
      </c>
      <c r="Z2" t="str">
        <v>9.8</v>
      </c>
      <c r="AA2" t="str">
        <v>9.7</v>
      </c>
      <c r="AB2" t="str">
        <v>10.8</v>
      </c>
      <c r="AC2" t="str">
        <v>-</v>
      </c>
      <c r="AD2" t="str">
        <v>7.1</v>
      </c>
      <c r="AE2" t="str">
        <v>7.5</v>
      </c>
      <c r="AF2" t="str">
        <v>8.2</v>
      </c>
      <c r="AG2" t="str">
        <v>8.5</v>
      </c>
      <c r="AH2" t="str">
        <v>9.2</v>
      </c>
      <c r="AI2" t="str">
        <v>9.5</v>
      </c>
      <c r="AJ2" t="str">
        <v>10.3</v>
      </c>
      <c r="AK2" t="str">
        <v>11.5</v>
      </c>
    </row>
    <row r="3">
      <c r="A3" t="str">
        <v>网上零售额累计值（亿元）</v>
      </c>
      <c r="B3" t="str">
        <v>-</v>
      </c>
      <c r="C3" t="str">
        <v>-</v>
      </c>
      <c r="D3" t="str">
        <v>-</v>
      </c>
      <c r="E3" t="str">
        <v>-</v>
      </c>
      <c r="F3" t="str">
        <v>159721.7</v>
      </c>
      <c r="G3" t="str">
        <v>144582.5</v>
      </c>
      <c r="H3" t="str">
        <v>127916.4</v>
      </c>
      <c r="I3" t="str">
        <v>112829.9</v>
      </c>
      <c r="J3" t="str">
        <v>99828.1</v>
      </c>
      <c r="K3" t="str">
        <v>86835.4</v>
      </c>
      <c r="L3" t="str">
        <v>74295.3</v>
      </c>
      <c r="M3" t="str">
        <v>60401.5</v>
      </c>
      <c r="N3" t="str">
        <v>47418.9</v>
      </c>
      <c r="O3" t="str">
        <v>36242.2</v>
      </c>
      <c r="P3" t="str">
        <v>22762.6</v>
      </c>
      <c r="Q3" t="str">
        <v>-</v>
      </c>
      <c r="R3" t="str">
        <v>155224.9</v>
      </c>
      <c r="S3" t="str">
        <v>140308.4</v>
      </c>
      <c r="T3" t="str">
        <v>123632.0</v>
      </c>
      <c r="U3" t="str">
        <v>108927.9</v>
      </c>
      <c r="V3" t="str">
        <v>96352.4</v>
      </c>
      <c r="W3" t="str">
        <v>83784.0</v>
      </c>
      <c r="X3" t="str">
        <v>70991.4</v>
      </c>
      <c r="Y3" t="str">
        <v>57668.8</v>
      </c>
      <c r="Z3" t="str">
        <v>44110.3</v>
      </c>
      <c r="AA3" t="str">
        <v>33081.8</v>
      </c>
      <c r="AB3" t="str">
        <v>21535.4</v>
      </c>
      <c r="AC3" t="str">
        <v>-</v>
      </c>
      <c r="AD3" t="str">
        <v>154264.2</v>
      </c>
      <c r="AE3" t="str">
        <v>139570.6</v>
      </c>
      <c r="AF3" t="str">
        <v>122914.7</v>
      </c>
      <c r="AG3" t="str">
        <v>108198.5</v>
      </c>
      <c r="AH3" t="str">
        <v>95386.6</v>
      </c>
      <c r="AI3" t="str">
        <v>83097.5</v>
      </c>
      <c r="AJ3" t="str">
        <v>71621.2</v>
      </c>
      <c r="AK3" t="str">
        <v>56905.7</v>
      </c>
    </row>
    <row r="4">
      <c r="A4" t="str">
        <v>网上零售额累计增长（%）</v>
      </c>
      <c r="B4" t="str">
        <v>-</v>
      </c>
      <c r="C4" t="str">
        <v>-</v>
      </c>
      <c r="D4" t="str">
        <v>-</v>
      </c>
      <c r="E4" t="str">
        <v>-</v>
      </c>
      <c r="F4" t="str">
        <v>8.6</v>
      </c>
      <c r="G4" t="str">
        <v>9.1</v>
      </c>
      <c r="H4" t="str">
        <v>9.6</v>
      </c>
      <c r="I4" t="str">
        <v>9.8</v>
      </c>
      <c r="J4" t="str">
        <v>9.6</v>
      </c>
      <c r="K4" t="str">
        <v>9.2</v>
      </c>
      <c r="L4" t="str">
        <v>8.5</v>
      </c>
      <c r="M4" t="str">
        <v>8.5</v>
      </c>
      <c r="N4" t="str">
        <v>7.7</v>
      </c>
      <c r="O4" t="str">
        <v>7.9</v>
      </c>
      <c r="P4" t="str">
        <v>7.3</v>
      </c>
      <c r="Q4" t="str">
        <v>-</v>
      </c>
      <c r="R4" t="str">
        <v>7.2</v>
      </c>
      <c r="S4" t="str">
        <v>7.4</v>
      </c>
      <c r="T4" t="str">
        <v>8.8</v>
      </c>
      <c r="U4" t="str">
        <v>8.6</v>
      </c>
      <c r="V4" t="str">
        <v>8.9</v>
      </c>
      <c r="W4" t="str">
        <v>9.5</v>
      </c>
      <c r="X4" t="str">
        <v>9.8</v>
      </c>
      <c r="Y4" t="str">
        <v>12.4</v>
      </c>
      <c r="Z4" t="str">
        <v>11.5</v>
      </c>
      <c r="AA4" t="str">
        <v>12.4</v>
      </c>
      <c r="AB4" t="str">
        <v>15.3</v>
      </c>
      <c r="AC4" t="str">
        <v>-</v>
      </c>
      <c r="AD4" t="str">
        <v>11.0</v>
      </c>
      <c r="AE4" t="str">
        <v>11.0</v>
      </c>
      <c r="AF4" t="str">
        <v>11.2</v>
      </c>
      <c r="AG4" t="str">
        <v>11.6</v>
      </c>
      <c r="AH4" t="str">
        <v>12.1</v>
      </c>
      <c r="AI4" t="str">
        <v>12.5</v>
      </c>
      <c r="AJ4" t="str">
        <v>13.1</v>
      </c>
      <c r="AK4" t="str">
        <v>13.8</v>
      </c>
    </row>
    <row r="5">
      <c r="A5" t="str">
        <v>实物商品网上零售额累计值（亿元）</v>
      </c>
      <c r="B5" t="str">
        <v>-</v>
      </c>
      <c r="C5" t="str">
        <v>-</v>
      </c>
      <c r="D5" t="str">
        <v>-</v>
      </c>
      <c r="E5" t="str">
        <v>-</v>
      </c>
      <c r="F5" t="str">
        <v>130922.6</v>
      </c>
      <c r="G5" t="str">
        <v>118192.6</v>
      </c>
      <c r="H5" t="str">
        <v>103983.9</v>
      </c>
      <c r="I5" t="str">
        <v>91527.5</v>
      </c>
      <c r="J5" t="str">
        <v>80964.4</v>
      </c>
      <c r="K5" t="str">
        <v>70790.5</v>
      </c>
      <c r="L5" t="str">
        <v>61191.2</v>
      </c>
      <c r="M5" t="str">
        <v>49878.0</v>
      </c>
      <c r="N5" t="str">
        <v>39265.4</v>
      </c>
      <c r="O5" t="str">
        <v>29948.2</v>
      </c>
      <c r="P5" t="str">
        <v>18632.6</v>
      </c>
      <c r="Q5" t="str">
        <v>-</v>
      </c>
      <c r="R5" t="str">
        <v>130815.7</v>
      </c>
      <c r="S5" t="str">
        <v>118058.8</v>
      </c>
      <c r="T5" t="str">
        <v>103330.4</v>
      </c>
      <c r="U5" t="str">
        <v>90721.1</v>
      </c>
      <c r="V5" t="str">
        <v>80142.6</v>
      </c>
      <c r="W5" t="str">
        <v>70093.0</v>
      </c>
      <c r="X5" t="str">
        <v>59595.9</v>
      </c>
      <c r="Y5" t="str">
        <v>48280.4</v>
      </c>
      <c r="Z5" t="str">
        <v>37355.7</v>
      </c>
      <c r="AA5" t="str">
        <v>28052.5</v>
      </c>
      <c r="AB5" t="str">
        <v>18206.5</v>
      </c>
      <c r="AC5" t="str">
        <v>-</v>
      </c>
      <c r="AD5" t="str">
        <v>130173.8</v>
      </c>
      <c r="AE5" t="str">
        <v>117708.8</v>
      </c>
      <c r="AF5" t="str">
        <v>103009.7</v>
      </c>
      <c r="AG5" t="str">
        <v>90435.0</v>
      </c>
      <c r="AH5" t="str">
        <v>79820.6</v>
      </c>
      <c r="AI5" t="str">
        <v>69856.1</v>
      </c>
      <c r="AJ5" t="str">
        <v>60622.7</v>
      </c>
      <c r="AK5" t="str">
        <v>48054.7</v>
      </c>
    </row>
    <row r="6">
      <c r="A6" t="str">
        <v>实物商品网上零售额累计增长（%）</v>
      </c>
      <c r="B6" t="str">
        <v>-</v>
      </c>
      <c r="C6" t="str">
        <v>-</v>
      </c>
      <c r="D6" t="str">
        <v>-</v>
      </c>
      <c r="E6" t="str">
        <v>-</v>
      </c>
      <c r="F6" t="str">
        <v>5.2</v>
      </c>
      <c r="G6" t="str">
        <v>5.7</v>
      </c>
      <c r="H6" t="str">
        <v>6.3</v>
      </c>
      <c r="I6" t="str">
        <v>6.5</v>
      </c>
      <c r="J6" t="str">
        <v>6.4</v>
      </c>
      <c r="K6" t="str">
        <v>6.3</v>
      </c>
      <c r="L6" t="str">
        <v>6.0</v>
      </c>
      <c r="M6" t="str">
        <v>6.3</v>
      </c>
      <c r="N6" t="str">
        <v>5.8</v>
      </c>
      <c r="O6" t="str">
        <v>5.7</v>
      </c>
      <c r="P6" t="str">
        <v>5.0</v>
      </c>
      <c r="Q6" t="str">
        <v>-</v>
      </c>
      <c r="R6" t="str">
        <v>6.5</v>
      </c>
      <c r="S6" t="str">
        <v>6.8</v>
      </c>
      <c r="T6" t="str">
        <v>8.3</v>
      </c>
      <c r="U6" t="str">
        <v>7.9</v>
      </c>
      <c r="V6" t="str">
        <v>8.1</v>
      </c>
      <c r="W6" t="str">
        <v>8.7</v>
      </c>
      <c r="X6" t="str">
        <v>8.8</v>
      </c>
      <c r="Y6" t="str">
        <v>11.5</v>
      </c>
      <c r="Z6" t="str">
        <v>11.1</v>
      </c>
      <c r="AA6" t="str">
        <v>11.6</v>
      </c>
      <c r="AB6" t="str">
        <v>14.4</v>
      </c>
      <c r="AC6" t="str">
        <v>-</v>
      </c>
      <c r="AD6" t="str">
        <v>8.4</v>
      </c>
      <c r="AE6" t="str">
        <v>8.3</v>
      </c>
      <c r="AF6" t="str">
        <v>8.4</v>
      </c>
      <c r="AG6" t="str">
        <v>8.9</v>
      </c>
      <c r="AH6" t="str">
        <v>9.5</v>
      </c>
      <c r="AI6" t="str">
        <v>10.0</v>
      </c>
      <c r="AJ6" t="str">
        <v>10.8</v>
      </c>
      <c r="AK6" t="str">
        <v>11.8</v>
      </c>
    </row>
    <row r="7">
      <c r="A7" t="str">
        <v>穿类实物商品网上零售额累计增长（%）</v>
      </c>
      <c r="B7" t="str">
        <v>-</v>
      </c>
      <c r="C7" t="str">
        <v>-</v>
      </c>
      <c r="D7" t="str">
        <v>-</v>
      </c>
      <c r="E7" t="str">
        <v>-</v>
      </c>
      <c r="F7" t="str">
        <v>1.9</v>
      </c>
      <c r="G7" t="str">
        <v>3.5</v>
      </c>
      <c r="H7" t="str">
        <v>3.6</v>
      </c>
      <c r="I7" t="str">
        <v>2.8</v>
      </c>
      <c r="J7" t="str">
        <v>2.4</v>
      </c>
      <c r="K7" t="str">
        <v>1.7</v>
      </c>
      <c r="L7" t="str">
        <v>1.4</v>
      </c>
      <c r="M7" t="str">
        <v>1.2</v>
      </c>
      <c r="N7" t="str">
        <v>0.5</v>
      </c>
      <c r="O7" t="str">
        <v>-0.1</v>
      </c>
      <c r="P7" t="str">
        <v>-0.6</v>
      </c>
      <c r="Q7" t="str">
        <v>-</v>
      </c>
      <c r="R7" t="str">
        <v>1.5</v>
      </c>
      <c r="S7" t="str">
        <v>2.8</v>
      </c>
      <c r="T7" t="str">
        <v>4.7</v>
      </c>
      <c r="U7" t="str">
        <v>4.1</v>
      </c>
      <c r="V7" t="str">
        <v>5.0</v>
      </c>
      <c r="W7" t="str">
        <v>6.3</v>
      </c>
      <c r="X7" t="str">
        <v>7.0</v>
      </c>
      <c r="Y7" t="str">
        <v>9.0</v>
      </c>
      <c r="Z7" t="str">
        <v>10.5</v>
      </c>
      <c r="AA7" t="str">
        <v>12.1</v>
      </c>
      <c r="AB7" t="str">
        <v>17.8</v>
      </c>
      <c r="AC7" t="str">
        <v>-</v>
      </c>
      <c r="AD7" t="str">
        <v>10.8</v>
      </c>
      <c r="AE7" t="str">
        <v>9.2</v>
      </c>
      <c r="AF7" t="str">
        <v>7.6</v>
      </c>
      <c r="AG7" t="str">
        <v>9.6</v>
      </c>
      <c r="AH7" t="str">
        <v>10.9</v>
      </c>
      <c r="AI7" t="str">
        <v>12.0</v>
      </c>
      <c r="AJ7" t="str">
        <v>13.3</v>
      </c>
      <c r="AK7" t="str">
        <v>14.6</v>
      </c>
    </row>
    <row r="8">
      <c r="A8" t="str">
        <v>吃类实物商品网上零售额累计增长（%）</v>
      </c>
      <c r="B8" t="str">
        <v>-</v>
      </c>
      <c r="C8" t="str">
        <v>-</v>
      </c>
      <c r="D8" t="str">
        <v>-</v>
      </c>
      <c r="E8" t="str">
        <v>-</v>
      </c>
      <c r="F8" t="str">
        <v>14.5</v>
      </c>
      <c r="G8" t="str">
        <v>14.9</v>
      </c>
      <c r="H8" t="str">
        <v>15.1</v>
      </c>
      <c r="I8" t="str">
        <v>15.1</v>
      </c>
      <c r="J8" t="str">
        <v>15.0</v>
      </c>
      <c r="K8" t="str">
        <v>14.7</v>
      </c>
      <c r="L8" t="str">
        <v>15.7</v>
      </c>
      <c r="M8" t="str">
        <v>14.5</v>
      </c>
      <c r="N8" t="str">
        <v>14.6</v>
      </c>
      <c r="O8" t="str">
        <v>14.0</v>
      </c>
      <c r="P8" t="str">
        <v>10.8</v>
      </c>
      <c r="Q8" t="str">
        <v>-</v>
      </c>
      <c r="R8" t="str">
        <v>16.0</v>
      </c>
      <c r="S8" t="str">
        <v>16.2</v>
      </c>
      <c r="T8" t="str">
        <v>17.7</v>
      </c>
      <c r="U8" t="str">
        <v>17.8</v>
      </c>
      <c r="V8" t="str">
        <v>19.1</v>
      </c>
      <c r="W8" t="str">
        <v>19.7</v>
      </c>
      <c r="X8" t="str">
        <v>17.8</v>
      </c>
      <c r="Y8" t="str">
        <v>19.6</v>
      </c>
      <c r="Z8" t="str">
        <v>19.2</v>
      </c>
      <c r="AA8" t="str">
        <v>21.1</v>
      </c>
      <c r="AB8" t="str">
        <v>26.1</v>
      </c>
      <c r="AC8" t="str">
        <v>-</v>
      </c>
      <c r="AD8" t="str">
        <v>11.2</v>
      </c>
      <c r="AE8" t="str">
        <v>12.0</v>
      </c>
      <c r="AF8" t="str">
        <v>11.3</v>
      </c>
      <c r="AG8" t="str">
        <v>10.4</v>
      </c>
      <c r="AH8" t="str">
        <v>8.4</v>
      </c>
      <c r="AI8" t="str">
        <v>8.7</v>
      </c>
      <c r="AJ8" t="str">
        <v>8.9</v>
      </c>
      <c r="AK8" t="str">
        <v>8.4</v>
      </c>
    </row>
  </sheetData>
  <ignoredErrors>
    <ignoredError numberStoredAsText="1" sqref="A1:A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通讯器材类商品零售类值同比增长 (%) </v>
      </c>
      <c r="B2" t="str">
        <v>-</v>
      </c>
      <c r="C2" t="str">
        <v>27.3</v>
      </c>
      <c r="D2" t="str">
        <v>-</v>
      </c>
      <c r="E2" t="str">
        <v>-</v>
      </c>
      <c r="F2" t="str">
        <v>20.9</v>
      </c>
      <c r="G2" t="str">
        <v>20.6</v>
      </c>
      <c r="H2" t="str">
        <v>23.2</v>
      </c>
      <c r="I2" t="str">
        <v>16.2</v>
      </c>
      <c r="J2" t="str">
        <v>7.3</v>
      </c>
      <c r="K2" t="str">
        <v>14.9</v>
      </c>
      <c r="L2" t="str">
        <v>13.9</v>
      </c>
      <c r="M2" t="str">
        <v>33.0</v>
      </c>
      <c r="N2" t="str">
        <v>19.9</v>
      </c>
      <c r="O2" t="str">
        <v>28.6</v>
      </c>
      <c r="P2" t="str">
        <v>-</v>
      </c>
      <c r="Q2" t="str">
        <v>-</v>
      </c>
      <c r="R2" t="str">
        <v>14.0</v>
      </c>
      <c r="S2" t="str">
        <v>-7.7</v>
      </c>
      <c r="T2" t="str">
        <v>14.4</v>
      </c>
      <c r="U2" t="str">
        <v>12.3</v>
      </c>
      <c r="V2" t="str">
        <v>14.8</v>
      </c>
      <c r="W2" t="str">
        <v>12.7</v>
      </c>
      <c r="X2" t="str">
        <v>2.9</v>
      </c>
      <c r="Y2" t="str">
        <v>16.6</v>
      </c>
      <c r="Z2" t="str">
        <v>13.3</v>
      </c>
      <c r="AA2" t="str">
        <v>7.2</v>
      </c>
      <c r="AB2" t="str">
        <v>-</v>
      </c>
      <c r="AC2" t="str">
        <v>-</v>
      </c>
      <c r="AD2" t="str">
        <v>11.0</v>
      </c>
      <c r="AE2" t="str">
        <v>16.8</v>
      </c>
      <c r="AF2" t="str">
        <v>14.6</v>
      </c>
      <c r="AG2" t="str">
        <v>0.4</v>
      </c>
      <c r="AH2" t="str">
        <v>8.5</v>
      </c>
      <c r="AI2" t="str">
        <v>3.0</v>
      </c>
      <c r="AJ2" t="str">
        <v>6.6</v>
      </c>
      <c r="AK2" t="str">
        <v>27.4</v>
      </c>
    </row>
    <row r="3">
      <c r="A3" t="str">
        <v xml:space="preserve">通讯器材类商品零售类值累计值 (亿元) </v>
      </c>
      <c r="B3" t="str">
        <v>-</v>
      </c>
      <c r="C3" t="str">
        <v>2839.7</v>
      </c>
      <c r="D3" t="str">
        <v>1874.5</v>
      </c>
      <c r="E3" t="str">
        <v>-</v>
      </c>
      <c r="F3" t="str">
        <v>10075.6</v>
      </c>
      <c r="G3" t="str">
        <v>9128.9</v>
      </c>
      <c r="H3" t="str">
        <v>8105.3</v>
      </c>
      <c r="I3" t="str">
        <v>7025.2</v>
      </c>
      <c r="J3" t="str">
        <v>6200.8</v>
      </c>
      <c r="K3" t="str">
        <v>5560.2</v>
      </c>
      <c r="L3" t="str">
        <v>4890.1</v>
      </c>
      <c r="M3" t="str">
        <v>3871.3</v>
      </c>
      <c r="N3" t="str">
        <v>2992.4</v>
      </c>
      <c r="O3" t="str">
        <v>2366.7</v>
      </c>
      <c r="P3" t="str">
        <v>1593.9</v>
      </c>
      <c r="Q3" t="str">
        <v>-</v>
      </c>
      <c r="R3" t="str">
        <v>7901.6</v>
      </c>
      <c r="S3" t="str">
        <v>7169.0</v>
      </c>
      <c r="T3" t="str">
        <v>6330.8</v>
      </c>
      <c r="U3" t="str">
        <v>5459.2</v>
      </c>
      <c r="V3" t="str">
        <v>4765.3</v>
      </c>
      <c r="W3" t="str">
        <v>4211.1</v>
      </c>
      <c r="X3" t="str">
        <v>3691.8</v>
      </c>
      <c r="Y3" t="str">
        <v>2855.8</v>
      </c>
      <c r="Z3" t="str">
        <v>2246.3</v>
      </c>
      <c r="AA3" t="str">
        <v>1766.9</v>
      </c>
      <c r="AB3" t="str">
        <v>1215.5</v>
      </c>
      <c r="AC3" t="str">
        <v>-</v>
      </c>
      <c r="AD3" t="str">
        <v>6814.0</v>
      </c>
      <c r="AE3" t="str">
        <v>6184.7</v>
      </c>
      <c r="AF3" t="str">
        <v>5357.9</v>
      </c>
      <c r="AG3" t="str">
        <v>4658.1</v>
      </c>
      <c r="AH3" t="str">
        <v>4081.5</v>
      </c>
      <c r="AI3" t="str">
        <v>3651.2</v>
      </c>
      <c r="AJ3" t="str">
        <v>3228.1</v>
      </c>
      <c r="AK3" t="str">
        <v>2447.2</v>
      </c>
    </row>
    <row r="4">
      <c r="A4" t="str">
        <v xml:space="preserve">通讯器材类商品零售类值累计增长 (%) </v>
      </c>
      <c r="B4" t="str">
        <v>-</v>
      </c>
      <c r="C4" t="str">
        <v>20.8</v>
      </c>
      <c r="D4" t="str">
        <v>17.8</v>
      </c>
      <c r="E4" t="str">
        <v>-</v>
      </c>
      <c r="F4" t="str">
        <v>20.9</v>
      </c>
      <c r="G4" t="str">
        <v>20.9</v>
      </c>
      <c r="H4" t="str">
        <v>20.9</v>
      </c>
      <c r="I4" t="str">
        <v>20.5</v>
      </c>
      <c r="J4" t="str">
        <v>21.1</v>
      </c>
      <c r="K4" t="str">
        <v>22.9</v>
      </c>
      <c r="L4" t="str">
        <v>24.1</v>
      </c>
      <c r="M4" t="str">
        <v>27.1</v>
      </c>
      <c r="N4" t="str">
        <v>25.4</v>
      </c>
      <c r="O4" t="str">
        <v>26.9</v>
      </c>
      <c r="P4" t="str">
        <v>26.2</v>
      </c>
      <c r="Q4" t="str">
        <v>-</v>
      </c>
      <c r="R4" t="str">
        <v>9.9</v>
      </c>
      <c r="S4" t="str">
        <v>9.5</v>
      </c>
      <c r="T4" t="str">
        <v>12.2</v>
      </c>
      <c r="U4" t="str">
        <v>11.9</v>
      </c>
      <c r="V4" t="str">
        <v>11.8</v>
      </c>
      <c r="W4" t="str">
        <v>11.4</v>
      </c>
      <c r="X4" t="str">
        <v>11.3</v>
      </c>
      <c r="Y4" t="str">
        <v>13.9</v>
      </c>
      <c r="Z4" t="str">
        <v>13.2</v>
      </c>
      <c r="AA4" t="str">
        <v>13.2</v>
      </c>
      <c r="AB4" t="str">
        <v>16.2</v>
      </c>
      <c r="AC4" t="str">
        <v>-</v>
      </c>
      <c r="AD4" t="str">
        <v>7.0</v>
      </c>
      <c r="AE4" t="str">
        <v>6.6</v>
      </c>
      <c r="AF4" t="str">
        <v>5.2</v>
      </c>
      <c r="AG4" t="str">
        <v>3.9</v>
      </c>
      <c r="AH4" t="str">
        <v>4.4</v>
      </c>
      <c r="AI4" t="str">
        <v>4.0</v>
      </c>
      <c r="AJ4" t="str">
        <v>4.1</v>
      </c>
      <c r="AK4" t="str">
        <v>3.3</v>
      </c>
    </row>
    <row r="5">
      <c r="A5" t="str">
        <v xml:space="preserve">通讯器材类商品零售类值当期值 (亿元) </v>
      </c>
      <c r="B5" t="str">
        <v>-</v>
      </c>
      <c r="C5" t="str">
        <v>952.2</v>
      </c>
      <c r="D5" t="str">
        <v>-</v>
      </c>
      <c r="E5" t="str">
        <v>-</v>
      </c>
      <c r="F5" t="str">
        <v>949.4</v>
      </c>
      <c r="G5" t="str">
        <v>998.1</v>
      </c>
      <c r="H5" t="str">
        <v>1079.9</v>
      </c>
      <c r="I5" t="str">
        <v>811.9</v>
      </c>
      <c r="J5" t="str">
        <v>628.2</v>
      </c>
      <c r="K5" t="str">
        <v>656.8</v>
      </c>
      <c r="L5" t="str">
        <v>1006.0</v>
      </c>
      <c r="M5" t="str">
        <v>870.7</v>
      </c>
      <c r="N5" t="str">
        <v>619.9</v>
      </c>
      <c r="O5" t="str">
        <v>764.7</v>
      </c>
      <c r="P5" t="str">
        <v>-</v>
      </c>
      <c r="Q5" t="str">
        <v>-</v>
      </c>
      <c r="R5" t="str">
        <v>742.7</v>
      </c>
      <c r="S5" t="str">
        <v>792.6</v>
      </c>
      <c r="T5" t="str">
        <v>835.0</v>
      </c>
      <c r="U5" t="str">
        <v>662.6</v>
      </c>
      <c r="V5" t="str">
        <v>540.4</v>
      </c>
      <c r="W5" t="str">
        <v>521.3</v>
      </c>
      <c r="X5" t="str">
        <v>819.7</v>
      </c>
      <c r="Y5" t="str">
        <v>610.4</v>
      </c>
      <c r="Z5" t="str">
        <v>480.3</v>
      </c>
      <c r="AA5" t="str">
        <v>560.4</v>
      </c>
      <c r="AB5" t="str">
        <v>-</v>
      </c>
      <c r="AC5" t="str">
        <v>-</v>
      </c>
      <c r="AD5" t="str">
        <v>627.8</v>
      </c>
      <c r="AE5" t="str">
        <v>826.3</v>
      </c>
      <c r="AF5" t="str">
        <v>698.8</v>
      </c>
      <c r="AG5" t="str">
        <v>567.0</v>
      </c>
      <c r="AH5" t="str">
        <v>455.1</v>
      </c>
      <c r="AI5" t="str">
        <v>446.6</v>
      </c>
      <c r="AJ5" t="str">
        <v>781.6</v>
      </c>
      <c r="AK5" t="str">
        <v>508.1</v>
      </c>
    </row>
  </sheetData>
  <ignoredErrors>
    <ignoredError numberStoredAsText="1" sqref="A1:AK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体育、娱乐用品类商品零售类值同比增长 (%) </v>
      </c>
      <c r="B2" t="str">
        <v>-</v>
      </c>
      <c r="C2" t="str">
        <v>-2.0</v>
      </c>
      <c r="D2" t="str">
        <v>-</v>
      </c>
      <c r="E2" t="str">
        <v>-</v>
      </c>
      <c r="F2" t="str">
        <v>9.0</v>
      </c>
      <c r="G2" t="str">
        <v>0.4</v>
      </c>
      <c r="H2" t="str">
        <v>10.1</v>
      </c>
      <c r="I2" t="str">
        <v>11.9</v>
      </c>
      <c r="J2" t="str">
        <v>16.9</v>
      </c>
      <c r="K2" t="str">
        <v>13.7</v>
      </c>
      <c r="L2" t="str">
        <v>9.5</v>
      </c>
      <c r="M2" t="str">
        <v>28.3</v>
      </c>
      <c r="N2" t="str">
        <v>23.3</v>
      </c>
      <c r="O2" t="str">
        <v>26.2</v>
      </c>
      <c r="P2" t="str">
        <v>-</v>
      </c>
      <c r="Q2" t="str">
        <v>-</v>
      </c>
      <c r="R2" t="str">
        <v>16.7</v>
      </c>
      <c r="S2" t="str">
        <v>3.5</v>
      </c>
      <c r="T2" t="str">
        <v>26.7</v>
      </c>
      <c r="U2" t="str">
        <v>6.2</v>
      </c>
      <c r="V2" t="str">
        <v>3.2</v>
      </c>
      <c r="W2" t="str">
        <v>10.7</v>
      </c>
      <c r="X2" t="str">
        <v>-1.5</v>
      </c>
      <c r="Y2" t="str">
        <v>20.2</v>
      </c>
      <c r="Z2" t="str">
        <v>12.7</v>
      </c>
      <c r="AA2" t="str">
        <v>19.3</v>
      </c>
      <c r="AB2" t="str">
        <v>-</v>
      </c>
      <c r="AC2" t="str">
        <v>-</v>
      </c>
      <c r="AD2" t="str">
        <v>16.7</v>
      </c>
      <c r="AE2" t="str">
        <v>16.0</v>
      </c>
      <c r="AF2" t="str">
        <v>25.7</v>
      </c>
      <c r="AG2" t="str">
        <v>10.7</v>
      </c>
      <c r="AH2" t="str">
        <v>-0.7</v>
      </c>
      <c r="AI2" t="str">
        <v>2.6</v>
      </c>
      <c r="AJ2" t="str">
        <v>9.2</v>
      </c>
      <c r="AK2" t="str">
        <v>14.3</v>
      </c>
    </row>
    <row r="3">
      <c r="A3" t="str">
        <v xml:space="preserve">体育、娱乐用品类商品零售类值累计值 (亿元) </v>
      </c>
      <c r="B3" t="str">
        <v>-</v>
      </c>
      <c r="C3" t="str">
        <v>410.5</v>
      </c>
      <c r="D3" t="str">
        <v>264.9</v>
      </c>
      <c r="E3" t="str">
        <v>-</v>
      </c>
      <c r="F3" t="str">
        <v>1702.8</v>
      </c>
      <c r="G3" t="str">
        <v>1552.4</v>
      </c>
      <c r="H3" t="str">
        <v>1396.7</v>
      </c>
      <c r="I3" t="str">
        <v>1240.0</v>
      </c>
      <c r="J3" t="str">
        <v>1109.3</v>
      </c>
      <c r="K3" t="str">
        <v>987.8</v>
      </c>
      <c r="L3" t="str">
        <v>857.6</v>
      </c>
      <c r="M3" t="str">
        <v>690.8</v>
      </c>
      <c r="N3" t="str">
        <v>532.4</v>
      </c>
      <c r="O3" t="str">
        <v>399.0</v>
      </c>
      <c r="P3" t="str">
        <v>247.2</v>
      </c>
      <c r="Q3" t="str">
        <v>-</v>
      </c>
      <c r="R3" t="str">
        <v>1415.4</v>
      </c>
      <c r="S3" t="str">
        <v>1282.8</v>
      </c>
      <c r="T3" t="str">
        <v>1128.5</v>
      </c>
      <c r="U3" t="str">
        <v>991.3</v>
      </c>
      <c r="V3" t="str">
        <v>877.6</v>
      </c>
      <c r="W3" t="str">
        <v>773.8</v>
      </c>
      <c r="X3" t="str">
        <v>667.9</v>
      </c>
      <c r="Y3" t="str">
        <v>525.0</v>
      </c>
      <c r="Z3" t="str">
        <v>407.7</v>
      </c>
      <c r="AA3" t="str">
        <v>306.9</v>
      </c>
      <c r="AB3" t="str">
        <v>193.1</v>
      </c>
      <c r="AC3" t="str">
        <v>-</v>
      </c>
      <c r="AD3" t="str">
        <v>1185.5</v>
      </c>
      <c r="AE3" t="str">
        <v>1079.5</v>
      </c>
      <c r="AF3" t="str">
        <v>944.5</v>
      </c>
      <c r="AG3" t="str">
        <v>847.4</v>
      </c>
      <c r="AH3" t="str">
        <v>772.4</v>
      </c>
      <c r="AI3" t="str">
        <v>675.9</v>
      </c>
      <c r="AJ3" t="str">
        <v>584.8</v>
      </c>
      <c r="AK3" t="str">
        <v>444.4</v>
      </c>
    </row>
    <row r="4">
      <c r="A4" t="str">
        <v xml:space="preserve">体育、娱乐用品类商品零售类值累计增长 (%) </v>
      </c>
      <c r="B4" t="str">
        <v>-</v>
      </c>
      <c r="C4" t="str">
        <v>1.9</v>
      </c>
      <c r="D4" t="str">
        <v>4.1</v>
      </c>
      <c r="E4" t="str">
        <v>-</v>
      </c>
      <c r="F4" t="str">
        <v>15.7</v>
      </c>
      <c r="G4" t="str">
        <v>16.4</v>
      </c>
      <c r="H4" t="str">
        <v>18.4</v>
      </c>
      <c r="I4" t="str">
        <v>19.6</v>
      </c>
      <c r="J4" t="str">
        <v>20.6</v>
      </c>
      <c r="K4" t="str">
        <v>21.1</v>
      </c>
      <c r="L4" t="str">
        <v>22.2</v>
      </c>
      <c r="M4" t="str">
        <v>25.7</v>
      </c>
      <c r="N4" t="str">
        <v>24.9</v>
      </c>
      <c r="O4" t="str">
        <v>25.4</v>
      </c>
      <c r="P4" t="str">
        <v>25.0</v>
      </c>
      <c r="Q4" t="str">
        <v>-</v>
      </c>
      <c r="R4" t="str">
        <v>11.1</v>
      </c>
      <c r="S4" t="str">
        <v>10.5</v>
      </c>
      <c r="T4" t="str">
        <v>11.5</v>
      </c>
      <c r="U4" t="str">
        <v>9.7</v>
      </c>
      <c r="V4" t="str">
        <v>10.1</v>
      </c>
      <c r="W4" t="str">
        <v>11.1</v>
      </c>
      <c r="X4" t="str">
        <v>11.2</v>
      </c>
      <c r="Y4" t="str">
        <v>15.2</v>
      </c>
      <c r="Z4" t="str">
        <v>13.8</v>
      </c>
      <c r="AA4" t="str">
        <v>14.2</v>
      </c>
      <c r="AB4" t="str">
        <v>11.3</v>
      </c>
      <c r="AC4" t="str">
        <v>-</v>
      </c>
      <c r="AD4" t="str">
        <v>11.2</v>
      </c>
      <c r="AE4" t="str">
        <v>10.7</v>
      </c>
      <c r="AF4" t="str">
        <v>9.9</v>
      </c>
      <c r="AG4" t="str">
        <v>8.3</v>
      </c>
      <c r="AH4" t="str">
        <v>8.0</v>
      </c>
      <c r="AI4" t="str">
        <v>9.4</v>
      </c>
      <c r="AJ4" t="str">
        <v>10.5</v>
      </c>
      <c r="AK4" t="str">
        <v>11.0</v>
      </c>
    </row>
    <row r="5">
      <c r="A5" t="str">
        <v xml:space="preserve">体育、娱乐用品类商品零售类值当期值 (亿元) </v>
      </c>
      <c r="B5" t="str">
        <v>-</v>
      </c>
      <c r="C5" t="str">
        <v>144.7</v>
      </c>
      <c r="D5" t="str">
        <v>-</v>
      </c>
      <c r="E5" t="str">
        <v>-</v>
      </c>
      <c r="F5" t="str">
        <v>152.1</v>
      </c>
      <c r="G5" t="str">
        <v>154.5</v>
      </c>
      <c r="H5" t="str">
        <v>156.8</v>
      </c>
      <c r="I5" t="str">
        <v>129.4</v>
      </c>
      <c r="J5" t="str">
        <v>127.1</v>
      </c>
      <c r="K5" t="str">
        <v>127.3</v>
      </c>
      <c r="L5" t="str">
        <v>164.9</v>
      </c>
      <c r="M5" t="str">
        <v>161.7</v>
      </c>
      <c r="N5" t="str">
        <v>131.8</v>
      </c>
      <c r="O5" t="str">
        <v>151.5</v>
      </c>
      <c r="P5" t="str">
        <v>-</v>
      </c>
      <c r="Q5" t="str">
        <v>-</v>
      </c>
      <c r="R5" t="str">
        <v>133.7</v>
      </c>
      <c r="S5" t="str">
        <v>148.3</v>
      </c>
      <c r="T5" t="str">
        <v>135.8</v>
      </c>
      <c r="U5" t="str">
        <v>109.2</v>
      </c>
      <c r="V5" t="str">
        <v>103.6</v>
      </c>
      <c r="W5" t="str">
        <v>104.9</v>
      </c>
      <c r="X5" t="str">
        <v>142.1</v>
      </c>
      <c r="Y5" t="str">
        <v>118.4</v>
      </c>
      <c r="Z5" t="str">
        <v>100.3</v>
      </c>
      <c r="AA5" t="str">
        <v>113.9</v>
      </c>
      <c r="AB5" t="str">
        <v>-</v>
      </c>
      <c r="AC5" t="str">
        <v>-</v>
      </c>
      <c r="AD5" t="str">
        <v>109.4</v>
      </c>
      <c r="AE5" t="str">
        <v>137.8</v>
      </c>
      <c r="AF5" t="str">
        <v>103.0</v>
      </c>
      <c r="AG5" t="str">
        <v>98.1</v>
      </c>
      <c r="AH5" t="str">
        <v>95.9</v>
      </c>
      <c r="AI5" t="str">
        <v>91.0</v>
      </c>
      <c r="AJ5" t="str">
        <v>140.8</v>
      </c>
      <c r="AK5" t="str">
        <v>95.0</v>
      </c>
    </row>
  </sheetData>
  <ignoredErrors>
    <ignoredError numberStoredAsText="1" sqref="A1:AK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书报杂志类商品零售类值同比增长 (%) </v>
      </c>
      <c r="B2" t="str">
        <v>-</v>
      </c>
      <c r="C2" t="str">
        <v>3.9</v>
      </c>
      <c r="D2" t="str">
        <v>-</v>
      </c>
      <c r="E2" t="str">
        <v>-</v>
      </c>
      <c r="F2" t="str">
        <v>4.6</v>
      </c>
      <c r="G2" t="str">
        <v>0.5</v>
      </c>
      <c r="H2" t="str">
        <v>-3.5</v>
      </c>
      <c r="I2" t="str">
        <v>-6.9</v>
      </c>
      <c r="J2" t="str">
        <v>11.9</v>
      </c>
      <c r="K2" t="str">
        <v>-6.6</v>
      </c>
      <c r="L2" t="str">
        <v>-10.7</v>
      </c>
      <c r="M2" t="str">
        <v>-8.4</v>
      </c>
      <c r="N2" t="str">
        <v>-8.5</v>
      </c>
      <c r="O2" t="str">
        <v>2.8</v>
      </c>
      <c r="P2" t="str">
        <v>-</v>
      </c>
      <c r="Q2" t="str">
        <v>-</v>
      </c>
      <c r="R2" t="str">
        <v>-12.2</v>
      </c>
      <c r="S2" t="str">
        <v>-10.1</v>
      </c>
      <c r="T2" t="str">
        <v>-4.8</v>
      </c>
      <c r="U2" t="str">
        <v>5.1</v>
      </c>
      <c r="V2" t="str">
        <v>-3.9</v>
      </c>
      <c r="W2" t="str">
        <v>-2.7</v>
      </c>
      <c r="X2" t="str">
        <v>0.8</v>
      </c>
      <c r="Y2" t="str">
        <v>-5.1</v>
      </c>
      <c r="Z2" t="str">
        <v>-2.0</v>
      </c>
      <c r="AA2" t="str">
        <v>10.7</v>
      </c>
      <c r="AB2" t="str">
        <v>-</v>
      </c>
      <c r="AC2" t="str">
        <v>-</v>
      </c>
      <c r="AD2" t="str">
        <v>-3.6</v>
      </c>
      <c r="AE2" t="str">
        <v>4.6</v>
      </c>
      <c r="AF2" t="str">
        <v>-0.3</v>
      </c>
      <c r="AG2" t="str">
        <v>8.7</v>
      </c>
      <c r="AH2" t="str">
        <v>0.7</v>
      </c>
      <c r="AI2" t="str">
        <v>-2.8</v>
      </c>
      <c r="AJ2" t="str">
        <v>2.1</v>
      </c>
      <c r="AK2" t="str">
        <v>10.9</v>
      </c>
    </row>
    <row r="3">
      <c r="A3" t="str">
        <v xml:space="preserve">书报杂志类商品零售类值累计值 (亿元) </v>
      </c>
      <c r="B3" t="str">
        <v>-</v>
      </c>
      <c r="C3" t="str">
        <v>393.3</v>
      </c>
      <c r="D3" t="str">
        <v>175.1</v>
      </c>
      <c r="E3" t="str">
        <v>-</v>
      </c>
      <c r="F3" t="str">
        <v>1706.8</v>
      </c>
      <c r="G3" t="str">
        <v>1527.3</v>
      </c>
      <c r="H3" t="str">
        <v>1349.7</v>
      </c>
      <c r="I3" t="str">
        <v>1207.8</v>
      </c>
      <c r="J3" t="str">
        <v>996.3</v>
      </c>
      <c r="K3" t="str">
        <v>899.8</v>
      </c>
      <c r="L3" t="str">
        <v>814.4</v>
      </c>
      <c r="M3" t="str">
        <v>655.9</v>
      </c>
      <c r="N3" t="str">
        <v>530.1</v>
      </c>
      <c r="O3" t="str">
        <v>404.6</v>
      </c>
      <c r="P3" t="str">
        <v>190.8</v>
      </c>
      <c r="Q3" t="str">
        <v>-</v>
      </c>
      <c r="R3" t="str">
        <v>1767.7</v>
      </c>
      <c r="S3" t="str">
        <v>1582.4</v>
      </c>
      <c r="T3" t="str">
        <v>1401.3</v>
      </c>
      <c r="U3" t="str">
        <v>1252.9</v>
      </c>
      <c r="V3" t="str">
        <v>1024.8</v>
      </c>
      <c r="W3" t="str">
        <v>939.5</v>
      </c>
      <c r="X3" t="str">
        <v>848.8</v>
      </c>
      <c r="Y3" t="str">
        <v>672.2</v>
      </c>
      <c r="Z3" t="str">
        <v>535.7</v>
      </c>
      <c r="AA3" t="str">
        <v>400.1</v>
      </c>
      <c r="AB3" t="str">
        <v>185.6</v>
      </c>
      <c r="AC3" t="str">
        <v>-</v>
      </c>
      <c r="AD3" t="str">
        <v>1750.0</v>
      </c>
      <c r="AE3" t="str">
        <v>1547.4</v>
      </c>
      <c r="AF3" t="str">
        <v>1348.9</v>
      </c>
      <c r="AG3" t="str">
        <v>1199.0</v>
      </c>
      <c r="AH3" t="str">
        <v>989.6</v>
      </c>
      <c r="AI3" t="str">
        <v>903.8</v>
      </c>
      <c r="AJ3" t="str">
        <v>816.9</v>
      </c>
      <c r="AK3" t="str">
        <v>643.7</v>
      </c>
    </row>
    <row r="4">
      <c r="A4" t="str">
        <v xml:space="preserve">书报杂志类商品零售类值累计增长 (%) </v>
      </c>
      <c r="B4" t="str">
        <v>-</v>
      </c>
      <c r="C4" t="str">
        <v>-2.2</v>
      </c>
      <c r="D4" t="str">
        <v>-9.0</v>
      </c>
      <c r="E4" t="str">
        <v>-</v>
      </c>
      <c r="F4" t="str">
        <v>-2.4</v>
      </c>
      <c r="G4" t="str">
        <v>-3.2</v>
      </c>
      <c r="H4" t="str">
        <v>-3.6</v>
      </c>
      <c r="I4" t="str">
        <v>-3.7</v>
      </c>
      <c r="J4" t="str">
        <v>-2.9</v>
      </c>
      <c r="K4" t="str">
        <v>-4.3</v>
      </c>
      <c r="L4" t="str">
        <v>-4.1</v>
      </c>
      <c r="M4" t="str">
        <v>-2.3</v>
      </c>
      <c r="N4" t="str">
        <v>-0.7</v>
      </c>
      <c r="O4" t="str">
        <v>2.0</v>
      </c>
      <c r="P4" t="str">
        <v>1.2</v>
      </c>
      <c r="Q4" t="str">
        <v>-</v>
      </c>
      <c r="R4" t="str">
        <v>-1.6</v>
      </c>
      <c r="S4" t="str">
        <v>-0.2</v>
      </c>
      <c r="T4" t="str">
        <v>1.2</v>
      </c>
      <c r="U4" t="str">
        <v>1.9</v>
      </c>
      <c r="V4" t="str">
        <v>1.3</v>
      </c>
      <c r="W4" t="str">
        <v>1.7</v>
      </c>
      <c r="X4" t="str">
        <v>2.2</v>
      </c>
      <c r="Y4" t="str">
        <v>2.6</v>
      </c>
      <c r="Z4" t="str">
        <v>4.8</v>
      </c>
      <c r="AA4" t="str">
        <v>7.3</v>
      </c>
      <c r="AB4" t="str">
        <v>3.7</v>
      </c>
      <c r="AC4" t="str">
        <v>-</v>
      </c>
      <c r="AD4" t="str">
        <v>4.8</v>
      </c>
      <c r="AE4" t="str">
        <v>6.1</v>
      </c>
      <c r="AF4" t="str">
        <v>6.3</v>
      </c>
      <c r="AG4" t="str">
        <v>7.2</v>
      </c>
      <c r="AH4" t="str">
        <v>6.8</v>
      </c>
      <c r="AI4" t="str">
        <v>7.4</v>
      </c>
      <c r="AJ4" t="str">
        <v>8.6</v>
      </c>
      <c r="AK4" t="str">
        <v>10.5</v>
      </c>
    </row>
    <row r="5">
      <c r="A5" t="str">
        <v xml:space="preserve">书报杂志类商品零售类值当期值 (亿元) </v>
      </c>
      <c r="B5" t="str">
        <v>-</v>
      </c>
      <c r="C5" t="str">
        <v>220.4</v>
      </c>
      <c r="D5" t="str">
        <v>-</v>
      </c>
      <c r="E5" t="str">
        <v>-</v>
      </c>
      <c r="F5" t="str">
        <v>189.0</v>
      </c>
      <c r="G5" t="str">
        <v>176.9</v>
      </c>
      <c r="H5" t="str">
        <v>144.7</v>
      </c>
      <c r="I5" t="str">
        <v>210.6</v>
      </c>
      <c r="J5" t="str">
        <v>96.9</v>
      </c>
      <c r="K5" t="str">
        <v>86.7</v>
      </c>
      <c r="L5" t="str">
        <v>160.0</v>
      </c>
      <c r="M5" t="str">
        <v>126.1</v>
      </c>
      <c r="N5" t="str">
        <v>125.2</v>
      </c>
      <c r="O5" t="str">
        <v>212.8</v>
      </c>
      <c r="P5" t="str">
        <v>-</v>
      </c>
      <c r="Q5" t="str">
        <v>-</v>
      </c>
      <c r="R5" t="str">
        <v>184.3</v>
      </c>
      <c r="S5" t="str">
        <v>173.6</v>
      </c>
      <c r="T5" t="str">
        <v>147.0</v>
      </c>
      <c r="U5" t="str">
        <v>225.3</v>
      </c>
      <c r="V5" t="str">
        <v>84.2</v>
      </c>
      <c r="W5" t="str">
        <v>89.5</v>
      </c>
      <c r="X5" t="str">
        <v>177.8</v>
      </c>
      <c r="Y5" t="str">
        <v>136.1</v>
      </c>
      <c r="Z5" t="str">
        <v>135.3</v>
      </c>
      <c r="AA5" t="str">
        <v>214.3</v>
      </c>
      <c r="AB5" t="str">
        <v>-</v>
      </c>
      <c r="AC5" t="str">
        <v>-</v>
      </c>
      <c r="AD5" t="str">
        <v>204.6</v>
      </c>
      <c r="AE5" t="str">
        <v>189.1</v>
      </c>
      <c r="AF5" t="str">
        <v>149.2</v>
      </c>
      <c r="AG5" t="str">
        <v>209.2</v>
      </c>
      <c r="AH5" t="str">
        <v>84.6</v>
      </c>
      <c r="AI5" t="str">
        <v>86.8</v>
      </c>
      <c r="AJ5" t="str">
        <v>172.4</v>
      </c>
      <c r="AK5" t="str">
        <v>140.7</v>
      </c>
    </row>
  </sheetData>
  <ignoredErrors>
    <ignoredError numberStoredAsText="1" sqref="A1:AK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石油及制品类商品零售类值同比增长 (%) </v>
      </c>
      <c r="B2" t="str">
        <v>-</v>
      </c>
      <c r="C2" t="str">
        <v>0.1</v>
      </c>
      <c r="D2" t="str">
        <v>-</v>
      </c>
      <c r="E2" t="str">
        <v>-</v>
      </c>
      <c r="F2" t="str">
        <v>-11.0</v>
      </c>
      <c r="G2" t="str">
        <v>-8.0</v>
      </c>
      <c r="H2" t="str">
        <v>-5.9</v>
      </c>
      <c r="I2" t="str">
        <v>-7.1</v>
      </c>
      <c r="J2" t="str">
        <v>-8.0</v>
      </c>
      <c r="K2" t="str">
        <v>-8.3</v>
      </c>
      <c r="L2" t="str">
        <v>-7.3</v>
      </c>
      <c r="M2" t="str">
        <v>-7.0</v>
      </c>
      <c r="N2" t="str">
        <v>-5.7</v>
      </c>
      <c r="O2" t="str">
        <v>-1.9</v>
      </c>
      <c r="P2" t="str">
        <v>-</v>
      </c>
      <c r="Q2" t="str">
        <v>-</v>
      </c>
      <c r="R2" t="str">
        <v>-2.8</v>
      </c>
      <c r="S2" t="str">
        <v>-7.1</v>
      </c>
      <c r="T2" t="str">
        <v>-6.6</v>
      </c>
      <c r="U2" t="str">
        <v>-4.4</v>
      </c>
      <c r="V2" t="str">
        <v>-0.4</v>
      </c>
      <c r="W2" t="str">
        <v>1.6</v>
      </c>
      <c r="X2" t="str">
        <v>4.6</v>
      </c>
      <c r="Y2" t="str">
        <v>5.1</v>
      </c>
      <c r="Z2" t="str">
        <v>1.6</v>
      </c>
      <c r="AA2" t="str">
        <v>3.5</v>
      </c>
      <c r="AB2" t="str">
        <v>-</v>
      </c>
      <c r="AC2" t="str">
        <v>-</v>
      </c>
      <c r="AD2" t="str">
        <v>8.6</v>
      </c>
      <c r="AE2" t="str">
        <v>7.2</v>
      </c>
      <c r="AF2" t="str">
        <v>5.4</v>
      </c>
      <c r="AG2" t="str">
        <v>8.9</v>
      </c>
      <c r="AH2" t="str">
        <v>6.0</v>
      </c>
      <c r="AI2" t="str">
        <v>-0.6</v>
      </c>
      <c r="AJ2" t="str">
        <v>-2.2</v>
      </c>
      <c r="AK2" t="str">
        <v>4.1</v>
      </c>
    </row>
    <row r="3">
      <c r="A3" t="str">
        <v xml:space="preserve">石油及制品类商品零售类值累计值 (亿元) </v>
      </c>
      <c r="B3" t="str">
        <v>-</v>
      </c>
      <c r="C3" t="str">
        <v>5616.1</v>
      </c>
      <c r="D3" t="str">
        <v>3589.6</v>
      </c>
      <c r="E3" t="str">
        <v>-</v>
      </c>
      <c r="F3" t="str">
        <v>22505.2</v>
      </c>
      <c r="G3" t="str">
        <v>20781.4</v>
      </c>
      <c r="H3" t="str">
        <v>19129.8</v>
      </c>
      <c r="I3" t="str">
        <v>17368.9</v>
      </c>
      <c r="J3" t="str">
        <v>15464.0</v>
      </c>
      <c r="K3" t="str">
        <v>13552.5</v>
      </c>
      <c r="L3" t="str">
        <v>11718.7</v>
      </c>
      <c r="M3" t="str">
        <v>9787.1</v>
      </c>
      <c r="N3" t="str">
        <v>7917.5</v>
      </c>
      <c r="O3" t="str">
        <v>6081.7</v>
      </c>
      <c r="P3" t="str">
        <v>4018.6</v>
      </c>
      <c r="Q3" t="str">
        <v>-</v>
      </c>
      <c r="R3" t="str">
        <v>24001.7</v>
      </c>
      <c r="S3" t="str">
        <v>22021.1</v>
      </c>
      <c r="T3" t="str">
        <v>20178.7</v>
      </c>
      <c r="U3" t="str">
        <v>18201.0</v>
      </c>
      <c r="V3" t="str">
        <v>16104.9</v>
      </c>
      <c r="W3" t="str">
        <v>14041.4</v>
      </c>
      <c r="X3" t="str">
        <v>12026.2</v>
      </c>
      <c r="Y3" t="str">
        <v>9936.9</v>
      </c>
      <c r="Z3" t="str">
        <v>7953.0</v>
      </c>
      <c r="AA3" t="str">
        <v>6046.9</v>
      </c>
      <c r="AB3" t="str">
        <v>3934.9</v>
      </c>
      <c r="AC3" t="str">
        <v>-</v>
      </c>
      <c r="AD3" t="str">
        <v>23218.5</v>
      </c>
      <c r="AE3" t="str">
        <v>21326.9</v>
      </c>
      <c r="AF3" t="str">
        <v>19469.9</v>
      </c>
      <c r="AG3" t="str">
        <v>17443.5</v>
      </c>
      <c r="AH3" t="str">
        <v>15346.2</v>
      </c>
      <c r="AI3" t="str">
        <v>13332.9</v>
      </c>
      <c r="AJ3" t="str">
        <v>11422.2</v>
      </c>
      <c r="AK3" t="str">
        <v>9473.8</v>
      </c>
    </row>
    <row r="4">
      <c r="A4" t="str">
        <v xml:space="preserve">石油及制品类商品零售类值累计增长 (%) </v>
      </c>
      <c r="B4" t="str">
        <v>-</v>
      </c>
      <c r="C4" t="str">
        <v>-6.4</v>
      </c>
      <c r="D4" t="str">
        <v>-9.7</v>
      </c>
      <c r="E4" t="str">
        <v>-</v>
      </c>
      <c r="F4" t="str">
        <v>-5.7</v>
      </c>
      <c r="G4" t="str">
        <v>-5.2</v>
      </c>
      <c r="H4" t="str">
        <v>-5.0</v>
      </c>
      <c r="I4" t="str">
        <v>-4.9</v>
      </c>
      <c r="J4" t="str">
        <v>-4.6</v>
      </c>
      <c r="K4" t="str">
        <v>-4.1</v>
      </c>
      <c r="L4" t="str">
        <v>-3.4</v>
      </c>
      <c r="M4" t="str">
        <v>-2.6</v>
      </c>
      <c r="N4" t="str">
        <v>-1.4</v>
      </c>
      <c r="O4" t="str">
        <v>-0.1</v>
      </c>
      <c r="P4" t="str">
        <v>0.9</v>
      </c>
      <c r="Q4" t="str">
        <v>-</v>
      </c>
      <c r="R4" t="str">
        <v>0.3</v>
      </c>
      <c r="S4" t="str">
        <v>0.6</v>
      </c>
      <c r="T4" t="str">
        <v>1.3</v>
      </c>
      <c r="U4" t="str">
        <v>2.3</v>
      </c>
      <c r="V4" t="str">
        <v>3.2</v>
      </c>
      <c r="W4" t="str">
        <v>3.8</v>
      </c>
      <c r="X4" t="str">
        <v>4.1</v>
      </c>
      <c r="Y4" t="str">
        <v>4.0</v>
      </c>
      <c r="Z4" t="str">
        <v>3.8</v>
      </c>
      <c r="AA4" t="str">
        <v>4.5</v>
      </c>
      <c r="AB4" t="str">
        <v>5.0</v>
      </c>
      <c r="AC4" t="str">
        <v>-</v>
      </c>
      <c r="AD4" t="str">
        <v>6.6</v>
      </c>
      <c r="AE4" t="str">
        <v>6.5</v>
      </c>
      <c r="AF4" t="str">
        <v>6.4</v>
      </c>
      <c r="AG4" t="str">
        <v>6.5</v>
      </c>
      <c r="AH4" t="str">
        <v>6.2</v>
      </c>
      <c r="AI4" t="str">
        <v>6.2</v>
      </c>
      <c r="AJ4" t="str">
        <v>7.5</v>
      </c>
      <c r="AK4" t="str">
        <v>9.6</v>
      </c>
    </row>
    <row r="5">
      <c r="A5" t="str">
        <v xml:space="preserve">石油及制品类商品零售类值当期值 (亿元) </v>
      </c>
      <c r="B5" t="str">
        <v>-</v>
      </c>
      <c r="C5" t="str">
        <v>2047.0</v>
      </c>
      <c r="D5" t="str">
        <v>-</v>
      </c>
      <c r="E5" t="str">
        <v>-</v>
      </c>
      <c r="F5" t="str">
        <v>1819.5</v>
      </c>
      <c r="G5" t="str">
        <v>1722.2</v>
      </c>
      <c r="H5" t="str">
        <v>1873.2</v>
      </c>
      <c r="I5" t="str">
        <v>1950.5</v>
      </c>
      <c r="J5" t="str">
        <v>1955.3</v>
      </c>
      <c r="K5" t="str">
        <v>1894.8</v>
      </c>
      <c r="L5" t="str">
        <v>1946.5</v>
      </c>
      <c r="M5" t="str">
        <v>1894.8</v>
      </c>
      <c r="N5" t="str">
        <v>1863.8</v>
      </c>
      <c r="O5" t="str">
        <v>2073.4</v>
      </c>
      <c r="P5" t="str">
        <v>-</v>
      </c>
      <c r="Q5" t="str">
        <v>-</v>
      </c>
      <c r="R5" t="str">
        <v>2023.9</v>
      </c>
      <c r="S5" t="str">
        <v>1852.5</v>
      </c>
      <c r="T5" t="str">
        <v>1967.7</v>
      </c>
      <c r="U5" t="str">
        <v>2073.8</v>
      </c>
      <c r="V5" t="str">
        <v>2093.5</v>
      </c>
      <c r="W5" t="str">
        <v>2034.8</v>
      </c>
      <c r="X5" t="str">
        <v>2074.1</v>
      </c>
      <c r="Y5" t="str">
        <v>2009.0</v>
      </c>
      <c r="Z5" t="str">
        <v>1948.7</v>
      </c>
      <c r="AA5" t="str">
        <v>2091.9</v>
      </c>
      <c r="AB5" t="str">
        <v>-</v>
      </c>
      <c r="AC5" t="str">
        <v>-</v>
      </c>
      <c r="AD5" t="str">
        <v>2033.7</v>
      </c>
      <c r="AE5" t="str">
        <v>1953.1</v>
      </c>
      <c r="AF5" t="str">
        <v>2070.3</v>
      </c>
      <c r="AG5" t="str">
        <v>2138.6</v>
      </c>
      <c r="AH5" t="str">
        <v>2070.0</v>
      </c>
      <c r="AI5" t="str">
        <v>1973.7</v>
      </c>
      <c r="AJ5" t="str">
        <v>1968.6</v>
      </c>
      <c r="AK5" t="str">
        <v>1900.0</v>
      </c>
    </row>
  </sheetData>
  <ignoredErrors>
    <ignoredError numberStoredAsText="1" sqref="A1:AK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K9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限上单位消费品零售额同比增长 (%) </v>
      </c>
      <c r="B2" t="str">
        <v>-</v>
      </c>
      <c r="C2" t="str">
        <v>1.3</v>
      </c>
      <c r="D2" t="str">
        <v>-</v>
      </c>
      <c r="E2" t="str">
        <v>-</v>
      </c>
      <c r="F2" t="str">
        <v>-1.9</v>
      </c>
      <c r="G2" t="str">
        <v>-2.0</v>
      </c>
      <c r="H2" t="str">
        <v>1.6</v>
      </c>
      <c r="I2" t="str">
        <v>2.3</v>
      </c>
      <c r="J2" t="str">
        <v>2.4</v>
      </c>
      <c r="K2" t="str">
        <v>2.8</v>
      </c>
      <c r="L2" t="str">
        <v>5.0</v>
      </c>
      <c r="M2" t="str">
        <v>8.0</v>
      </c>
      <c r="N2" t="str">
        <v>6.3</v>
      </c>
      <c r="O2" t="str">
        <v>8.5</v>
      </c>
      <c r="P2" t="str">
        <v>-</v>
      </c>
      <c r="Q2" t="str">
        <v>-</v>
      </c>
      <c r="R2" t="str">
        <v>4.0</v>
      </c>
      <c r="S2" t="str">
        <v>1.3</v>
      </c>
      <c r="T2" t="str">
        <v>6.2</v>
      </c>
      <c r="U2" t="str">
        <v>2.6</v>
      </c>
      <c r="V2" t="str">
        <v>-0.6</v>
      </c>
      <c r="W2" t="str">
        <v>-0.1</v>
      </c>
      <c r="X2" t="str">
        <v>-0.6</v>
      </c>
      <c r="Y2" t="str">
        <v>3.4</v>
      </c>
      <c r="Z2" t="str">
        <v>0.9</v>
      </c>
      <c r="AA2" t="str">
        <v>2.6</v>
      </c>
      <c r="AB2" t="str">
        <v>-</v>
      </c>
      <c r="AC2" t="str">
        <v>-</v>
      </c>
      <c r="AD2" t="str">
        <v>6.6</v>
      </c>
      <c r="AE2" t="str">
        <v>10.0</v>
      </c>
      <c r="AF2" t="str">
        <v>8.7</v>
      </c>
      <c r="AG2" t="str">
        <v>5.2</v>
      </c>
      <c r="AH2" t="str">
        <v>3.1</v>
      </c>
      <c r="AI2" t="str">
        <v>0.3</v>
      </c>
      <c r="AJ2" t="str">
        <v>2.3</v>
      </c>
      <c r="AK2" t="str">
        <v>12.5</v>
      </c>
    </row>
    <row r="3">
      <c r="A3" t="str">
        <v xml:space="preserve">限上单位消费品零售额累计值 (亿元) </v>
      </c>
      <c r="B3" t="str">
        <v>-</v>
      </c>
      <c r="C3" t="str">
        <v>49259.7</v>
      </c>
      <c r="D3" t="str">
        <v>32217.6</v>
      </c>
      <c r="E3" t="str">
        <v>-</v>
      </c>
      <c r="F3" t="str">
        <v>201618.2</v>
      </c>
      <c r="G3" t="str">
        <v>182664.6</v>
      </c>
      <c r="H3" t="str">
        <v>164935.4</v>
      </c>
      <c r="I3" t="str">
        <v>147726.2</v>
      </c>
      <c r="J3" t="str">
        <v>130021.7</v>
      </c>
      <c r="K3" t="str">
        <v>114258.2</v>
      </c>
      <c r="L3" t="str">
        <v>99219.7</v>
      </c>
      <c r="M3" t="str">
        <v>80749.1</v>
      </c>
      <c r="N3" t="str">
        <v>64082.2</v>
      </c>
      <c r="O3" t="str">
        <v>49216.5</v>
      </c>
      <c r="P3" t="str">
        <v>31952.5</v>
      </c>
      <c r="Q3" t="str">
        <v>-</v>
      </c>
      <c r="R3" t="str">
        <v>192552.5</v>
      </c>
      <c r="S3" t="str">
        <v>173397.6</v>
      </c>
      <c r="T3" t="str">
        <v>155131.4</v>
      </c>
      <c r="U3" t="str">
        <v>137676.5</v>
      </c>
      <c r="V3" t="str">
        <v>120304.4</v>
      </c>
      <c r="W3" t="str">
        <v>105321.1</v>
      </c>
      <c r="X3" t="str">
        <v>91056.9</v>
      </c>
      <c r="Y3" t="str">
        <v>73858.0</v>
      </c>
      <c r="Z3" t="str">
        <v>58873.8</v>
      </c>
      <c r="AA3" t="str">
        <v>45450.8</v>
      </c>
      <c r="AB3" t="str">
        <v>29919.7</v>
      </c>
      <c r="AC3" t="str">
        <v>-</v>
      </c>
      <c r="AD3" t="str">
        <v>178563.1</v>
      </c>
      <c r="AE3" t="str">
        <v>161540.2</v>
      </c>
      <c r="AF3" t="str">
        <v>144741.9</v>
      </c>
      <c r="AG3" t="str">
        <v>129424.6</v>
      </c>
      <c r="AH3" t="str">
        <v>113364.2</v>
      </c>
      <c r="AI3" t="str">
        <v>98981.8</v>
      </c>
      <c r="AJ3" t="str">
        <v>85341.3</v>
      </c>
      <c r="AK3" t="str">
        <v>68720.6</v>
      </c>
    </row>
    <row r="4">
      <c r="A4" t="str">
        <v xml:space="preserve">限上单位消费品零售额累计增长 (%) </v>
      </c>
      <c r="B4" t="str">
        <v>-</v>
      </c>
      <c r="C4" t="str">
        <v>2.2</v>
      </c>
      <c r="D4" t="str">
        <v>2.7</v>
      </c>
      <c r="E4" t="str">
        <v>-</v>
      </c>
      <c r="F4" t="str">
        <v>3.3</v>
      </c>
      <c r="G4" t="str">
        <v>3.8</v>
      </c>
      <c r="H4" t="str">
        <v>4.5</v>
      </c>
      <c r="I4" t="str">
        <v>4.9</v>
      </c>
      <c r="J4" t="str">
        <v>5.2</v>
      </c>
      <c r="K4" t="str">
        <v>5.6</v>
      </c>
      <c r="L4" t="str">
        <v>6.1</v>
      </c>
      <c r="M4" t="str">
        <v>6.3</v>
      </c>
      <c r="N4" t="str">
        <v>5.9</v>
      </c>
      <c r="O4" t="str">
        <v>5.7</v>
      </c>
      <c r="P4" t="str">
        <v>4.3</v>
      </c>
      <c r="Q4" t="str">
        <v>-</v>
      </c>
      <c r="R4" t="str">
        <v>2.7</v>
      </c>
      <c r="S4" t="str">
        <v>2.6</v>
      </c>
      <c r="T4" t="str">
        <v>2.7</v>
      </c>
      <c r="U4" t="str">
        <v>2.3</v>
      </c>
      <c r="V4" t="str">
        <v>2.3</v>
      </c>
      <c r="W4" t="str">
        <v>2.7</v>
      </c>
      <c r="X4" t="str">
        <v>3.1</v>
      </c>
      <c r="Y4" t="str">
        <v>4.0</v>
      </c>
      <c r="Z4" t="str">
        <v>4.2</v>
      </c>
      <c r="AA4" t="str">
        <v>5.2</v>
      </c>
      <c r="AB4" t="str">
        <v>6.7</v>
      </c>
      <c r="AC4" t="str">
        <v>-</v>
      </c>
      <c r="AD4" t="str">
        <v>6.5</v>
      </c>
      <c r="AE4" t="str">
        <v>6.5</v>
      </c>
      <c r="AF4" t="str">
        <v>6.1</v>
      </c>
      <c r="AG4" t="str">
        <v>5.9</v>
      </c>
      <c r="AH4" t="str">
        <v>5.9</v>
      </c>
      <c r="AI4" t="str">
        <v>6.4</v>
      </c>
      <c r="AJ4" t="str">
        <v>7.4</v>
      </c>
      <c r="AK4" t="str">
        <v>8.7</v>
      </c>
    </row>
    <row r="5">
      <c r="A5" t="str">
        <v xml:space="preserve">限上单位消费品零售额当期值 (亿元) </v>
      </c>
      <c r="B5" t="str">
        <v>-</v>
      </c>
      <c r="C5" t="str">
        <v>17065.7</v>
      </c>
      <c r="D5" t="str">
        <v>-</v>
      </c>
      <c r="E5" t="str">
        <v>-</v>
      </c>
      <c r="F5" t="str">
        <v>19546.7</v>
      </c>
      <c r="G5" t="str">
        <v>17810.3</v>
      </c>
      <c r="H5" t="str">
        <v>17781.5</v>
      </c>
      <c r="I5" t="str">
        <v>17776.1</v>
      </c>
      <c r="J5" t="str">
        <v>15841.5</v>
      </c>
      <c r="K5" t="str">
        <v>15213.7</v>
      </c>
      <c r="L5" t="str">
        <v>18327.3</v>
      </c>
      <c r="M5" t="str">
        <v>16715.8</v>
      </c>
      <c r="N5" t="str">
        <v>14991.6</v>
      </c>
      <c r="O5" t="str">
        <v>17239.0</v>
      </c>
      <c r="P5" t="str">
        <v>-</v>
      </c>
      <c r="Q5" t="str">
        <v>-</v>
      </c>
      <c r="R5" t="str">
        <v>19453.4</v>
      </c>
      <c r="S5" t="str">
        <v>17748.1</v>
      </c>
      <c r="T5" t="str">
        <v>16985.5</v>
      </c>
      <c r="U5" t="str">
        <v>16901.2</v>
      </c>
      <c r="V5" t="str">
        <v>14925.5</v>
      </c>
      <c r="W5" t="str">
        <v>14282.8</v>
      </c>
      <c r="X5" t="str">
        <v>16994.0</v>
      </c>
      <c r="Y5" t="str">
        <v>14988.2</v>
      </c>
      <c r="Z5" t="str">
        <v>13640.9</v>
      </c>
      <c r="AA5" t="str">
        <v>15535.1</v>
      </c>
      <c r="AB5" t="str">
        <v>-</v>
      </c>
      <c r="AC5" t="str">
        <v>-</v>
      </c>
      <c r="AD5" t="str">
        <v>17885.4</v>
      </c>
      <c r="AE5" t="str">
        <v>16857.8</v>
      </c>
      <c r="AF5" t="str">
        <v>15362.6</v>
      </c>
      <c r="AG5" t="str">
        <v>15890.3</v>
      </c>
      <c r="AH5" t="str">
        <v>14460.8</v>
      </c>
      <c r="AI5" t="str">
        <v>13762.0</v>
      </c>
      <c r="AJ5" t="str">
        <v>16658.3</v>
      </c>
      <c r="AK5" t="str">
        <v>14033.4</v>
      </c>
    </row>
    <row r="6">
      <c r="A6" t="str">
        <v xml:space="preserve">社会消费品零售总额同比增长 (%) </v>
      </c>
      <c r="B6" t="str">
        <v>-</v>
      </c>
      <c r="C6" t="str">
        <v>1.7</v>
      </c>
      <c r="D6" t="str">
        <v>-</v>
      </c>
      <c r="E6" t="str">
        <v>-</v>
      </c>
      <c r="F6" t="str">
        <v>0.9</v>
      </c>
      <c r="G6" t="str">
        <v>1.3</v>
      </c>
      <c r="H6" t="str">
        <v>2.9</v>
      </c>
      <c r="I6" t="str">
        <v>3.0</v>
      </c>
      <c r="J6" t="str">
        <v>3.4</v>
      </c>
      <c r="K6" t="str">
        <v>3.7</v>
      </c>
      <c r="L6" t="str">
        <v>4.8</v>
      </c>
      <c r="M6" t="str">
        <v>6.4</v>
      </c>
      <c r="N6" t="str">
        <v>5.1</v>
      </c>
      <c r="O6" t="str">
        <v>5.9</v>
      </c>
      <c r="P6" t="str">
        <v>-</v>
      </c>
      <c r="Q6" t="str">
        <v>-</v>
      </c>
      <c r="R6" t="str">
        <v>3.7</v>
      </c>
      <c r="S6" t="str">
        <v>3.0</v>
      </c>
      <c r="T6" t="str">
        <v>4.8</v>
      </c>
      <c r="U6" t="str">
        <v>3.2</v>
      </c>
      <c r="V6" t="str">
        <v>2.1</v>
      </c>
      <c r="W6" t="str">
        <v>2.7</v>
      </c>
      <c r="X6" t="str">
        <v>2.0</v>
      </c>
      <c r="Y6" t="str">
        <v>3.7</v>
      </c>
      <c r="Z6" t="str">
        <v>2.3</v>
      </c>
      <c r="AA6" t="str">
        <v>3.1</v>
      </c>
      <c r="AB6" t="str">
        <v>-</v>
      </c>
      <c r="AC6" t="str">
        <v>-</v>
      </c>
      <c r="AD6" t="str">
        <v>7.4</v>
      </c>
      <c r="AE6" t="str">
        <v>10.1</v>
      </c>
      <c r="AF6" t="str">
        <v>7.6</v>
      </c>
      <c r="AG6" t="str">
        <v>5.5</v>
      </c>
      <c r="AH6" t="str">
        <v>4.6</v>
      </c>
      <c r="AI6" t="str">
        <v>2.5</v>
      </c>
      <c r="AJ6" t="str">
        <v>3.1</v>
      </c>
      <c r="AK6" t="str">
        <v>12.7</v>
      </c>
    </row>
    <row r="7">
      <c r="A7" t="str">
        <v xml:space="preserve">社会消费品零售总额累计值 (亿元) </v>
      </c>
      <c r="B7" t="str">
        <v>-</v>
      </c>
      <c r="C7" t="str">
        <v>127694.9</v>
      </c>
      <c r="D7" t="str">
        <v>86078.9</v>
      </c>
      <c r="E7" t="str">
        <v>-</v>
      </c>
      <c r="F7" t="str">
        <v>501202.4</v>
      </c>
      <c r="G7" t="str">
        <v>456066.6</v>
      </c>
      <c r="H7" t="str">
        <v>412168.5</v>
      </c>
      <c r="I7" t="str">
        <v>365877.2</v>
      </c>
      <c r="J7" t="str">
        <v>323906.2</v>
      </c>
      <c r="K7" t="str">
        <v>284238.5</v>
      </c>
      <c r="L7" t="str">
        <v>245458.4</v>
      </c>
      <c r="M7" t="str">
        <v>203171.0</v>
      </c>
      <c r="N7" t="str">
        <v>161845.2</v>
      </c>
      <c r="O7" t="str">
        <v>124671.1</v>
      </c>
      <c r="P7" t="str">
        <v>83730.6</v>
      </c>
      <c r="Q7" t="str">
        <v>-</v>
      </c>
      <c r="R7" t="str">
        <v>487894.8</v>
      </c>
      <c r="S7" t="str">
        <v>442723.3</v>
      </c>
      <c r="T7" t="str">
        <v>398960.3</v>
      </c>
      <c r="U7" t="str">
        <v>353564.0</v>
      </c>
      <c r="V7" t="str">
        <v>312451.7</v>
      </c>
      <c r="W7" t="str">
        <v>273725.9</v>
      </c>
      <c r="X7" t="str">
        <v>235969.0</v>
      </c>
      <c r="Y7" t="str">
        <v>195236.9</v>
      </c>
      <c r="Z7" t="str">
        <v>156025.8</v>
      </c>
      <c r="AA7" t="str">
        <v>120326.8</v>
      </c>
      <c r="AB7" t="str">
        <v>81306.9</v>
      </c>
      <c r="AC7" t="str">
        <v>-</v>
      </c>
      <c r="AD7" t="str">
        <v>471495.2</v>
      </c>
      <c r="AE7" t="str">
        <v>427945.0</v>
      </c>
      <c r="AF7" t="str">
        <v>385440.0</v>
      </c>
      <c r="AG7" t="str">
        <v>342107.0</v>
      </c>
      <c r="AH7" t="str">
        <v>302281.0</v>
      </c>
      <c r="AI7" t="str">
        <v>264348.4</v>
      </c>
      <c r="AJ7" t="str">
        <v>227587.6</v>
      </c>
      <c r="AK7" t="str">
        <v>187636.3</v>
      </c>
    </row>
    <row r="8">
      <c r="A8" t="str">
        <v xml:space="preserve">社会消费品零售总额累计增长 (%) </v>
      </c>
      <c r="B8" t="str">
        <v>-</v>
      </c>
      <c r="C8" t="str">
        <v>2.4</v>
      </c>
      <c r="D8" t="str">
        <v>2.8</v>
      </c>
      <c r="E8" t="str">
        <v>-</v>
      </c>
      <c r="F8" t="str">
        <v>3.7</v>
      </c>
      <c r="G8" t="str">
        <v>4.0</v>
      </c>
      <c r="H8" t="str">
        <v>4.3</v>
      </c>
      <c r="I8" t="str">
        <v>4.5</v>
      </c>
      <c r="J8" t="str">
        <v>4.6</v>
      </c>
      <c r="K8" t="str">
        <v>4.8</v>
      </c>
      <c r="L8" t="str">
        <v>5.0</v>
      </c>
      <c r="M8" t="str">
        <v>5.0</v>
      </c>
      <c r="N8" t="str">
        <v>4.7</v>
      </c>
      <c r="O8" t="str">
        <v>4.6</v>
      </c>
      <c r="P8" t="str">
        <v>4.0</v>
      </c>
      <c r="Q8" t="str">
        <v>-</v>
      </c>
      <c r="R8" t="str">
        <v>3.5</v>
      </c>
      <c r="S8" t="str">
        <v>3.5</v>
      </c>
      <c r="T8" t="str">
        <v>3.5</v>
      </c>
      <c r="U8" t="str">
        <v>3.3</v>
      </c>
      <c r="V8" t="str">
        <v>3.4</v>
      </c>
      <c r="W8" t="str">
        <v>3.5</v>
      </c>
      <c r="X8" t="str">
        <v>3.7</v>
      </c>
      <c r="Y8" t="str">
        <v>4.1</v>
      </c>
      <c r="Z8" t="str">
        <v>4.1</v>
      </c>
      <c r="AA8" t="str">
        <v>4.7</v>
      </c>
      <c r="AB8" t="str">
        <v>5.5</v>
      </c>
      <c r="AC8" t="str">
        <v>-</v>
      </c>
      <c r="AD8" t="str">
        <v>7.2</v>
      </c>
      <c r="AE8" t="str">
        <v>7.2</v>
      </c>
      <c r="AF8" t="str">
        <v>6.9</v>
      </c>
      <c r="AG8" t="str">
        <v>6.8</v>
      </c>
      <c r="AH8" t="str">
        <v>7.0</v>
      </c>
      <c r="AI8" t="str">
        <v>7.3</v>
      </c>
      <c r="AJ8" t="str">
        <v>8.2</v>
      </c>
      <c r="AK8" t="str">
        <v>9.3</v>
      </c>
    </row>
    <row r="9">
      <c r="A9" t="str">
        <v xml:space="preserve">社会消费品零售总额当期值 (亿元) </v>
      </c>
      <c r="B9" t="str">
        <v>-</v>
      </c>
      <c r="C9" t="str">
        <v>41616.0</v>
      </c>
      <c r="D9" t="str">
        <v>-</v>
      </c>
      <c r="E9" t="str">
        <v>-</v>
      </c>
      <c r="F9" t="str">
        <v>45135.9</v>
      </c>
      <c r="G9" t="str">
        <v>43898.0</v>
      </c>
      <c r="H9" t="str">
        <v>46291.3</v>
      </c>
      <c r="I9" t="str">
        <v>41971.0</v>
      </c>
      <c r="J9" t="str">
        <v>39667.6</v>
      </c>
      <c r="K9" t="str">
        <v>38780.2</v>
      </c>
      <c r="L9" t="str">
        <v>42287.4</v>
      </c>
      <c r="M9" t="str">
        <v>41325.8</v>
      </c>
      <c r="N9" t="str">
        <v>37174.1</v>
      </c>
      <c r="O9" t="str">
        <v>40940.5</v>
      </c>
      <c r="P9" t="str">
        <v>-</v>
      </c>
      <c r="Q9" t="str">
        <v>-</v>
      </c>
      <c r="R9" t="str">
        <v>45171.5</v>
      </c>
      <c r="S9" t="str">
        <v>43763.0</v>
      </c>
      <c r="T9" t="str">
        <v>45396.4</v>
      </c>
      <c r="U9" t="str">
        <v>41112.3</v>
      </c>
      <c r="V9" t="str">
        <v>38725.8</v>
      </c>
      <c r="W9" t="str">
        <v>37757.4</v>
      </c>
      <c r="X9" t="str">
        <v>40731.6</v>
      </c>
      <c r="Y9" t="str">
        <v>39211.0</v>
      </c>
      <c r="Z9" t="str">
        <v>35699.1</v>
      </c>
      <c r="AA9" t="str">
        <v>39019.9</v>
      </c>
      <c r="AB9" t="str">
        <v>-</v>
      </c>
      <c r="AC9" t="str">
        <v>-</v>
      </c>
      <c r="AD9" t="str">
        <v>43550.2</v>
      </c>
      <c r="AE9" t="str">
        <v>42505.0</v>
      </c>
      <c r="AF9" t="str">
        <v>43333.0</v>
      </c>
      <c r="AG9" t="str">
        <v>39826.0</v>
      </c>
      <c r="AH9" t="str">
        <v>37932.7</v>
      </c>
      <c r="AI9" t="str">
        <v>36760.7</v>
      </c>
      <c r="AJ9" t="str">
        <v>39951.4</v>
      </c>
      <c r="AK9" t="str">
        <v>37803.3</v>
      </c>
    </row>
  </sheetData>
  <ignoredErrors>
    <ignoredError numberStoredAsText="1" sqref="A1:A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日用品类商品零售类值同比增长 (%) </v>
      </c>
      <c r="B2" t="str">
        <v>-</v>
      </c>
      <c r="C2" t="str">
        <v>4.6</v>
      </c>
      <c r="D2" t="str">
        <v>-</v>
      </c>
      <c r="E2" t="str">
        <v>-</v>
      </c>
      <c r="F2" t="str">
        <v>3.7</v>
      </c>
      <c r="G2" t="str">
        <v>-0.8</v>
      </c>
      <c r="H2" t="str">
        <v>7.4</v>
      </c>
      <c r="I2" t="str">
        <v>6.8</v>
      </c>
      <c r="J2" t="str">
        <v>7.7</v>
      </c>
      <c r="K2" t="str">
        <v>8.2</v>
      </c>
      <c r="L2" t="str">
        <v>7.8</v>
      </c>
      <c r="M2" t="str">
        <v>8.0</v>
      </c>
      <c r="N2" t="str">
        <v>7.6</v>
      </c>
      <c r="O2" t="str">
        <v>8.8</v>
      </c>
      <c r="P2" t="str">
        <v>-</v>
      </c>
      <c r="Q2" t="str">
        <v>-</v>
      </c>
      <c r="R2" t="str">
        <v>6.3</v>
      </c>
      <c r="S2" t="str">
        <v>1.3</v>
      </c>
      <c r="T2" t="str">
        <v>8.5</v>
      </c>
      <c r="U2" t="str">
        <v>3.0</v>
      </c>
      <c r="V2" t="str">
        <v>1.3</v>
      </c>
      <c r="W2" t="str">
        <v>2.1</v>
      </c>
      <c r="X2" t="str">
        <v>0.3</v>
      </c>
      <c r="Y2" t="str">
        <v>7.7</v>
      </c>
      <c r="Z2" t="str">
        <v>4.4</v>
      </c>
      <c r="AA2" t="str">
        <v>3.5</v>
      </c>
      <c r="AB2" t="str">
        <v>-</v>
      </c>
      <c r="AC2" t="str">
        <v>-</v>
      </c>
      <c r="AD2" t="str">
        <v>-5.9</v>
      </c>
      <c r="AE2" t="str">
        <v>3.5</v>
      </c>
      <c r="AF2" t="str">
        <v>4.4</v>
      </c>
      <c r="AG2" t="str">
        <v>0.7</v>
      </c>
      <c r="AH2" t="str">
        <v>1.5</v>
      </c>
      <c r="AI2" t="str">
        <v>-1.0</v>
      </c>
      <c r="AJ2" t="str">
        <v>-2.2</v>
      </c>
      <c r="AK2" t="str">
        <v>9.4</v>
      </c>
    </row>
    <row r="3">
      <c r="A3" t="str">
        <v xml:space="preserve">日用品类商品零售类值累计值 (亿元) </v>
      </c>
      <c r="B3" t="str">
        <v>-</v>
      </c>
      <c r="C3" t="str">
        <v>2191.0</v>
      </c>
      <c r="D3" t="str">
        <v>1436.9</v>
      </c>
      <c r="E3" t="str">
        <v>-</v>
      </c>
      <c r="F3" t="str">
        <v>8675.4</v>
      </c>
      <c r="G3" t="str">
        <v>7921.6</v>
      </c>
      <c r="H3" t="str">
        <v>7162.5</v>
      </c>
      <c r="I3" t="str">
        <v>6407.9</v>
      </c>
      <c r="J3" t="str">
        <v>5685.2</v>
      </c>
      <c r="K3" t="str">
        <v>4963.0</v>
      </c>
      <c r="L3" t="str">
        <v>4314.8</v>
      </c>
      <c r="M3" t="str">
        <v>3507.3</v>
      </c>
      <c r="N3" t="str">
        <v>2767.0</v>
      </c>
      <c r="O3" t="str">
        <v>2129.3</v>
      </c>
      <c r="P3" t="str">
        <v>1385.7</v>
      </c>
      <c r="Q3" t="str">
        <v>-</v>
      </c>
      <c r="R3" t="str">
        <v>8091.2</v>
      </c>
      <c r="S3" t="str">
        <v>7351.7</v>
      </c>
      <c r="T3" t="str">
        <v>6556.3</v>
      </c>
      <c r="U3" t="str">
        <v>5847.9</v>
      </c>
      <c r="V3" t="str">
        <v>5166.7</v>
      </c>
      <c r="W3" t="str">
        <v>4515.1</v>
      </c>
      <c r="X3" t="str">
        <v>3923.2</v>
      </c>
      <c r="Y3" t="str">
        <v>3196.6</v>
      </c>
      <c r="Z3" t="str">
        <v>2521.1</v>
      </c>
      <c r="AA3" t="str">
        <v>1950.7</v>
      </c>
      <c r="AB3" t="str">
        <v>1283.2</v>
      </c>
      <c r="AC3" t="str">
        <v>-</v>
      </c>
      <c r="AD3" t="str">
        <v>7576.3</v>
      </c>
      <c r="AE3" t="str">
        <v>6923.2</v>
      </c>
      <c r="AF3" t="str">
        <v>6168.2</v>
      </c>
      <c r="AG3" t="str">
        <v>5569.2</v>
      </c>
      <c r="AH3" t="str">
        <v>4921.9</v>
      </c>
      <c r="AI3" t="str">
        <v>4305.3</v>
      </c>
      <c r="AJ3" t="str">
        <v>3747.9</v>
      </c>
      <c r="AK3" t="str">
        <v>3031.9</v>
      </c>
    </row>
    <row r="4">
      <c r="A4" t="str">
        <v xml:space="preserve">日用品类商品零售类值累计增长 (%) </v>
      </c>
      <c r="B4" t="str">
        <v>-</v>
      </c>
      <c r="C4" t="str">
        <v>5.9</v>
      </c>
      <c r="D4" t="str">
        <v>6.6</v>
      </c>
      <c r="E4" t="str">
        <v>-</v>
      </c>
      <c r="F4" t="str">
        <v>6.3</v>
      </c>
      <c r="G4" t="str">
        <v>6.5</v>
      </c>
      <c r="H4" t="str">
        <v>7.4</v>
      </c>
      <c r="I4" t="str">
        <v>7.4</v>
      </c>
      <c r="J4" t="str">
        <v>7.4</v>
      </c>
      <c r="K4" t="str">
        <v>7.4</v>
      </c>
      <c r="L4" t="str">
        <v>7.3</v>
      </c>
      <c r="M4" t="str">
        <v>7.2</v>
      </c>
      <c r="N4" t="str">
        <v>7.0</v>
      </c>
      <c r="O4" t="str">
        <v>6.8</v>
      </c>
      <c r="P4" t="str">
        <v>5.7</v>
      </c>
      <c r="Q4" t="str">
        <v>-</v>
      </c>
      <c r="R4" t="str">
        <v>3.0</v>
      </c>
      <c r="S4" t="str">
        <v>2.7</v>
      </c>
      <c r="T4" t="str">
        <v>2.9</v>
      </c>
      <c r="U4" t="str">
        <v>2.2</v>
      </c>
      <c r="V4" t="str">
        <v>2.2</v>
      </c>
      <c r="W4" t="str">
        <v>2.3</v>
      </c>
      <c r="X4" t="str">
        <v>2.3</v>
      </c>
      <c r="Y4" t="str">
        <v>2.7</v>
      </c>
      <c r="Z4" t="str">
        <v>1.5</v>
      </c>
      <c r="AA4" t="str">
        <v>0.7</v>
      </c>
      <c r="AB4" t="str">
        <v>-0.7</v>
      </c>
      <c r="AC4" t="str">
        <v>-</v>
      </c>
      <c r="AD4" t="str">
        <v>2.7</v>
      </c>
      <c r="AE4" t="str">
        <v>3.6</v>
      </c>
      <c r="AF4" t="str">
        <v>3.6</v>
      </c>
      <c r="AG4" t="str">
        <v>3.5</v>
      </c>
      <c r="AH4" t="str">
        <v>3.9</v>
      </c>
      <c r="AI4" t="str">
        <v>4.2</v>
      </c>
      <c r="AJ4" t="str">
        <v>5.0</v>
      </c>
      <c r="AK4" t="str">
        <v>6.8</v>
      </c>
    </row>
    <row r="5">
      <c r="A5" t="str">
        <v xml:space="preserve">日用品类商品零售类值当期值 (亿元) </v>
      </c>
      <c r="B5" t="str">
        <v>-</v>
      </c>
      <c r="C5" t="str">
        <v>750.5</v>
      </c>
      <c r="D5" t="str">
        <v>-</v>
      </c>
      <c r="E5" t="str">
        <v>-</v>
      </c>
      <c r="F5" t="str">
        <v>775.8</v>
      </c>
      <c r="G5" t="str">
        <v>763.4</v>
      </c>
      <c r="H5" t="str">
        <v>763.9</v>
      </c>
      <c r="I5" t="str">
        <v>732.3</v>
      </c>
      <c r="J5" t="str">
        <v>712.9</v>
      </c>
      <c r="K5" t="str">
        <v>664.9</v>
      </c>
      <c r="L5" t="str">
        <v>793.5</v>
      </c>
      <c r="M5" t="str">
        <v>741.3</v>
      </c>
      <c r="N5" t="str">
        <v>644.3</v>
      </c>
      <c r="O5" t="str">
        <v>741.2</v>
      </c>
      <c r="P5" t="str">
        <v>-</v>
      </c>
      <c r="Q5" t="str">
        <v>-</v>
      </c>
      <c r="R5" t="str">
        <v>737.9</v>
      </c>
      <c r="S5" t="str">
        <v>757.7</v>
      </c>
      <c r="T5" t="str">
        <v>692.0</v>
      </c>
      <c r="U5" t="str">
        <v>669.4</v>
      </c>
      <c r="V5" t="str">
        <v>639.2</v>
      </c>
      <c r="W5" t="str">
        <v>593.7</v>
      </c>
      <c r="X5" t="str">
        <v>716.5</v>
      </c>
      <c r="Y5" t="str">
        <v>669.2</v>
      </c>
      <c r="Z5" t="str">
        <v>580.8</v>
      </c>
      <c r="AA5" t="str">
        <v>666.3</v>
      </c>
      <c r="AB5" t="str">
        <v>-</v>
      </c>
      <c r="AC5" t="str">
        <v>-</v>
      </c>
      <c r="AD5" t="str">
        <v>669.7</v>
      </c>
      <c r="AE5" t="str">
        <v>748.9</v>
      </c>
      <c r="AF5" t="str">
        <v>615.2</v>
      </c>
      <c r="AG5" t="str">
        <v>633.5</v>
      </c>
      <c r="AH5" t="str">
        <v>615.6</v>
      </c>
      <c r="AI5" t="str">
        <v>566.0</v>
      </c>
      <c r="AJ5" t="str">
        <v>714.7</v>
      </c>
      <c r="AK5" t="str">
        <v>608.5</v>
      </c>
    </row>
  </sheetData>
  <ignoredErrors>
    <ignoredError numberStoredAsText="1" sqref="A1:AK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汽车类商品零售类值同比增长 (%) </v>
      </c>
      <c r="B2" t="str">
        <v>-</v>
      </c>
      <c r="C2" t="str">
        <v>-11.8</v>
      </c>
      <c r="D2" t="str">
        <v>-</v>
      </c>
      <c r="E2" t="str">
        <v>-</v>
      </c>
      <c r="F2" t="str">
        <v>-5.0</v>
      </c>
      <c r="G2" t="str">
        <v>-8.3</v>
      </c>
      <c r="H2" t="str">
        <v>-6.6</v>
      </c>
      <c r="I2" t="str">
        <v>1.6</v>
      </c>
      <c r="J2" t="str">
        <v>0.8</v>
      </c>
      <c r="K2" t="str">
        <v>-1.5</v>
      </c>
      <c r="L2" t="str">
        <v>4.6</v>
      </c>
      <c r="M2" t="str">
        <v>1.1</v>
      </c>
      <c r="N2" t="str">
        <v>0.7</v>
      </c>
      <c r="O2" t="str">
        <v>5.5</v>
      </c>
      <c r="P2" t="str">
        <v>-</v>
      </c>
      <c r="Q2" t="str">
        <v>-</v>
      </c>
      <c r="R2" t="str">
        <v>0.5</v>
      </c>
      <c r="S2" t="str">
        <v>6.6</v>
      </c>
      <c r="T2" t="str">
        <v>3.7</v>
      </c>
      <c r="U2" t="str">
        <v>0.4</v>
      </c>
      <c r="V2" t="str">
        <v>-7.3</v>
      </c>
      <c r="W2" t="str">
        <v>-4.9</v>
      </c>
      <c r="X2" t="str">
        <v>-6.2</v>
      </c>
      <c r="Y2" t="str">
        <v>-4.4</v>
      </c>
      <c r="Z2" t="str">
        <v>-5.6</v>
      </c>
      <c r="AA2" t="str">
        <v>-3.7</v>
      </c>
      <c r="AB2" t="str">
        <v>-</v>
      </c>
      <c r="AC2" t="str">
        <v>-</v>
      </c>
      <c r="AD2" t="str">
        <v>4.0</v>
      </c>
      <c r="AE2" t="str">
        <v>14.7</v>
      </c>
      <c r="AF2" t="str">
        <v>11.4</v>
      </c>
      <c r="AG2" t="str">
        <v>2.8</v>
      </c>
      <c r="AH2" t="str">
        <v>1.1</v>
      </c>
      <c r="AI2" t="str">
        <v>-1.5</v>
      </c>
      <c r="AJ2" t="str">
        <v>-1.1</v>
      </c>
      <c r="AK2" t="str">
        <v>24.2</v>
      </c>
    </row>
    <row r="3">
      <c r="A3" t="str">
        <v xml:space="preserve">汽车类商品零售类值累计值 (亿元) </v>
      </c>
      <c r="B3" t="str">
        <v>-</v>
      </c>
      <c r="C3" t="str">
        <v>9968.3</v>
      </c>
      <c r="D3" t="str">
        <v>6251.5</v>
      </c>
      <c r="E3" t="str">
        <v>-</v>
      </c>
      <c r="F3" t="str">
        <v>49789.2</v>
      </c>
      <c r="G3" t="str">
        <v>44430.0</v>
      </c>
      <c r="H3" t="str">
        <v>40009.0</v>
      </c>
      <c r="I3" t="str">
        <v>35923.2</v>
      </c>
      <c r="J3" t="str">
        <v>31263.3</v>
      </c>
      <c r="K3" t="str">
        <v>27224.0</v>
      </c>
      <c r="L3" t="str">
        <v>23468.3</v>
      </c>
      <c r="M3" t="str">
        <v>18847.1</v>
      </c>
      <c r="N3" t="str">
        <v>14839.9</v>
      </c>
      <c r="O3" t="str">
        <v>11236.8</v>
      </c>
      <c r="P3" t="str">
        <v>6892.7</v>
      </c>
      <c r="Q3" t="str">
        <v>-</v>
      </c>
      <c r="R3" t="str">
        <v>50313.5</v>
      </c>
      <c r="S3" t="str">
        <v>44763.2</v>
      </c>
      <c r="T3" t="str">
        <v>39921.1</v>
      </c>
      <c r="U3" t="str">
        <v>35361.1</v>
      </c>
      <c r="V3" t="str">
        <v>30679.9</v>
      </c>
      <c r="W3" t="str">
        <v>26735.8</v>
      </c>
      <c r="X3" t="str">
        <v>22961.8</v>
      </c>
      <c r="Y3" t="str">
        <v>18529.7</v>
      </c>
      <c r="Z3" t="str">
        <v>14629.9</v>
      </c>
      <c r="AA3" t="str">
        <v>11163.3</v>
      </c>
      <c r="AB3" t="str">
        <v>7112.4</v>
      </c>
      <c r="AC3" t="str">
        <v>-</v>
      </c>
      <c r="AD3" t="str">
        <v>48614.0</v>
      </c>
      <c r="AE3" t="str">
        <v>43279.9</v>
      </c>
      <c r="AF3" t="str">
        <v>38968.4</v>
      </c>
      <c r="AG3" t="str">
        <v>34837.2</v>
      </c>
      <c r="AH3" t="str">
        <v>30392.6</v>
      </c>
      <c r="AI3" t="str">
        <v>26265.3</v>
      </c>
      <c r="AJ3" t="str">
        <v>22409.3</v>
      </c>
      <c r="AK3" t="str">
        <v>17893.0</v>
      </c>
    </row>
    <row r="4">
      <c r="A4" t="str">
        <v xml:space="preserve">汽车类商品零售类值累计增长 (%) </v>
      </c>
      <c r="B4" t="str">
        <v>-</v>
      </c>
      <c r="C4" t="str">
        <v>-9.1</v>
      </c>
      <c r="D4" t="str">
        <v>-7.3</v>
      </c>
      <c r="E4" t="str">
        <v>-</v>
      </c>
      <c r="F4" t="str">
        <v>-1.5</v>
      </c>
      <c r="G4" t="str">
        <v>-1.0</v>
      </c>
      <c r="H4" t="str">
        <v>-0.2</v>
      </c>
      <c r="I4" t="str">
        <v>0.6</v>
      </c>
      <c r="J4" t="str">
        <v>0.5</v>
      </c>
      <c r="K4" t="str">
        <v>0.4</v>
      </c>
      <c r="L4" t="str">
        <v>0.8</v>
      </c>
      <c r="M4" t="str">
        <v>-0.1</v>
      </c>
      <c r="N4" t="str">
        <v>-0.5</v>
      </c>
      <c r="O4" t="str">
        <v>-0.8</v>
      </c>
      <c r="P4" t="str">
        <v>-4.4</v>
      </c>
      <c r="Q4" t="str">
        <v>-</v>
      </c>
      <c r="R4" t="str">
        <v>-0.5</v>
      </c>
      <c r="S4" t="str">
        <v>-0.7</v>
      </c>
      <c r="T4" t="str">
        <v>-1.5</v>
      </c>
      <c r="U4" t="str">
        <v>-2.1</v>
      </c>
      <c r="V4" t="str">
        <v>-2.4</v>
      </c>
      <c r="W4" t="str">
        <v>-1.7</v>
      </c>
      <c r="X4" t="str">
        <v>-1.1</v>
      </c>
      <c r="Y4" t="str">
        <v>0.2</v>
      </c>
      <c r="Z4" t="str">
        <v>1.4</v>
      </c>
      <c r="AA4" t="str">
        <v>3.8</v>
      </c>
      <c r="AB4" t="str">
        <v>8.7</v>
      </c>
      <c r="AC4" t="str">
        <v>-</v>
      </c>
      <c r="AD4" t="str">
        <v>5.9</v>
      </c>
      <c r="AE4" t="str">
        <v>6.2</v>
      </c>
      <c r="AF4" t="str">
        <v>5.3</v>
      </c>
      <c r="AG4" t="str">
        <v>4.6</v>
      </c>
      <c r="AH4" t="str">
        <v>4.9</v>
      </c>
      <c r="AI4" t="str">
        <v>5.5</v>
      </c>
      <c r="AJ4" t="str">
        <v>6.8</v>
      </c>
      <c r="AK4" t="str">
        <v>8.9</v>
      </c>
    </row>
    <row r="5">
      <c r="A5" t="str">
        <v xml:space="preserve">汽车类商品零售类值当期值 (亿元) </v>
      </c>
      <c r="B5" t="str">
        <v>-</v>
      </c>
      <c r="C5" t="str">
        <v>3740.9</v>
      </c>
      <c r="D5" t="str">
        <v>-</v>
      </c>
      <c r="E5" t="str">
        <v>-</v>
      </c>
      <c r="F5" t="str">
        <v>5481.6</v>
      </c>
      <c r="G5" t="str">
        <v>4454.5</v>
      </c>
      <c r="H5" t="str">
        <v>4255.2</v>
      </c>
      <c r="I5" t="str">
        <v>4711.3</v>
      </c>
      <c r="J5" t="str">
        <v>4093.1</v>
      </c>
      <c r="K5" t="str">
        <v>3849.0</v>
      </c>
      <c r="L5" t="str">
        <v>4638.0</v>
      </c>
      <c r="M5" t="str">
        <v>4009.7</v>
      </c>
      <c r="N5" t="str">
        <v>3626.2</v>
      </c>
      <c r="O5" t="str">
        <v>4330.1</v>
      </c>
      <c r="P5" t="str">
        <v>-</v>
      </c>
      <c r="Q5" t="str">
        <v>-</v>
      </c>
      <c r="R5" t="str">
        <v>5662.5</v>
      </c>
      <c r="S5" t="str">
        <v>4764.8</v>
      </c>
      <c r="T5" t="str">
        <v>4452.4</v>
      </c>
      <c r="U5" t="str">
        <v>4538.9</v>
      </c>
      <c r="V5" t="str">
        <v>3943.0</v>
      </c>
      <c r="W5" t="str">
        <v>3798.5</v>
      </c>
      <c r="X5" t="str">
        <v>4367.4</v>
      </c>
      <c r="Y5" t="str">
        <v>3874.6</v>
      </c>
      <c r="Z5" t="str">
        <v>3503.3</v>
      </c>
      <c r="AA5" t="str">
        <v>4051.7</v>
      </c>
      <c r="AB5" t="str">
        <v>-</v>
      </c>
      <c r="AC5" t="str">
        <v>-</v>
      </c>
      <c r="AD5" t="str">
        <v>5419.7</v>
      </c>
      <c r="AE5" t="str">
        <v>4314.4</v>
      </c>
      <c r="AF5" t="str">
        <v>4135.1</v>
      </c>
      <c r="AG5" t="str">
        <v>4382.5</v>
      </c>
      <c r="AH5" t="str">
        <v>4112.3</v>
      </c>
      <c r="AI5" t="str">
        <v>3854.6</v>
      </c>
      <c r="AJ5" t="str">
        <v>4525.9</v>
      </c>
      <c r="AK5" t="str">
        <v>3927.9</v>
      </c>
    </row>
  </sheetData>
  <ignoredErrors>
    <ignoredError numberStoredAsText="1" sqref="A1:AK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其他商品零售类值同比增长 (%) </v>
      </c>
      <c r="B2" t="str">
        <v>-</v>
      </c>
      <c r="C2" t="str">
        <v>5.7</v>
      </c>
      <c r="D2" t="str">
        <v>-</v>
      </c>
      <c r="E2" t="str">
        <v>-</v>
      </c>
      <c r="F2" t="str">
        <v>-0.9</v>
      </c>
      <c r="G2" t="str">
        <v>-0.8</v>
      </c>
      <c r="H2" t="str">
        <v>0.8</v>
      </c>
      <c r="I2" t="str">
        <v>0.3</v>
      </c>
      <c r="J2" t="str">
        <v>-0.4</v>
      </c>
      <c r="K2" t="str">
        <v>1.8</v>
      </c>
      <c r="L2" t="str">
        <v>-2.3</v>
      </c>
      <c r="M2" t="str">
        <v>4.1</v>
      </c>
      <c r="N2" t="str">
        <v>5.8</v>
      </c>
      <c r="O2" t="str">
        <v>11.7</v>
      </c>
      <c r="P2" t="str">
        <v>-</v>
      </c>
      <c r="Q2" t="str">
        <v>-</v>
      </c>
      <c r="R2" t="str">
        <v>8.0</v>
      </c>
      <c r="S2" t="str">
        <v>2.7</v>
      </c>
      <c r="T2" t="str">
        <v>9.7</v>
      </c>
      <c r="U2" t="str">
        <v>6.9</v>
      </c>
      <c r="V2" t="str">
        <v>3.7</v>
      </c>
      <c r="W2" t="str">
        <v>3.4</v>
      </c>
      <c r="X2" t="str">
        <v>3.5</v>
      </c>
      <c r="Y2" t="str">
        <v>4.4</v>
      </c>
      <c r="Z2" t="str">
        <v>3.7</v>
      </c>
      <c r="AA2" t="str">
        <v>0.4</v>
      </c>
      <c r="AB2" t="str">
        <v>-</v>
      </c>
      <c r="AC2" t="str">
        <v>-</v>
      </c>
      <c r="AD2" t="str">
        <v>-5.7</v>
      </c>
      <c r="AE2" t="str">
        <v>-0.4</v>
      </c>
      <c r="AF2" t="str">
        <v>-0.8</v>
      </c>
      <c r="AG2" t="str">
        <v>-0.3</v>
      </c>
      <c r="AH2" t="str">
        <v>-2.5</v>
      </c>
      <c r="AI2" t="str">
        <v>-4.2</v>
      </c>
      <c r="AJ2" t="str">
        <v>-4.2</v>
      </c>
      <c r="AK2" t="str">
        <v>-3.8</v>
      </c>
    </row>
    <row r="3">
      <c r="A3" t="str">
        <v xml:space="preserve">其他商品零售类值累计值 (亿元) </v>
      </c>
      <c r="B3" t="str">
        <v>-</v>
      </c>
      <c r="C3" t="str">
        <v>1335.3</v>
      </c>
      <c r="D3" t="str">
        <v>848.8</v>
      </c>
      <c r="E3" t="str">
        <v>-</v>
      </c>
      <c r="F3" t="str">
        <v>5521.7</v>
      </c>
      <c r="G3" t="str">
        <v>4990.2</v>
      </c>
      <c r="H3" t="str">
        <v>4492.5</v>
      </c>
      <c r="I3" t="str">
        <v>4049.9</v>
      </c>
      <c r="J3" t="str">
        <v>3544.0</v>
      </c>
      <c r="K3" t="str">
        <v>3128.8</v>
      </c>
      <c r="L3" t="str">
        <v>2698.6</v>
      </c>
      <c r="M3" t="str">
        <v>2218.4</v>
      </c>
      <c r="N3" t="str">
        <v>1774.1</v>
      </c>
      <c r="O3" t="str">
        <v>1353.8</v>
      </c>
      <c r="P3" t="str">
        <v>876.7</v>
      </c>
      <c r="Q3" t="str">
        <v>-</v>
      </c>
      <c r="R3" t="str">
        <v>5146.0</v>
      </c>
      <c r="S3" t="str">
        <v>4640.4</v>
      </c>
      <c r="T3" t="str">
        <v>4174.7</v>
      </c>
      <c r="U3" t="str">
        <v>3697.4</v>
      </c>
      <c r="V3" t="str">
        <v>3207.4</v>
      </c>
      <c r="W3" t="str">
        <v>2805.4</v>
      </c>
      <c r="X3" t="str">
        <v>2419.8</v>
      </c>
      <c r="Y3" t="str">
        <v>1940.5</v>
      </c>
      <c r="Z3" t="str">
        <v>1536.6</v>
      </c>
      <c r="AA3" t="str">
        <v>1167.7</v>
      </c>
      <c r="AB3" t="str">
        <v>766.9</v>
      </c>
      <c r="AC3" t="str">
        <v>-</v>
      </c>
      <c r="AD3" t="str">
        <v>4477.0</v>
      </c>
      <c r="AE3" t="str">
        <v>4063.6</v>
      </c>
      <c r="AF3" t="str">
        <v>3647.6</v>
      </c>
      <c r="AG3" t="str">
        <v>3256.2</v>
      </c>
      <c r="AH3" t="str">
        <v>2849.9</v>
      </c>
      <c r="AI3" t="str">
        <v>2506.3</v>
      </c>
      <c r="AJ3" t="str">
        <v>2165.8</v>
      </c>
      <c r="AK3" t="str">
        <v>1753.4</v>
      </c>
    </row>
    <row r="4">
      <c r="A4" t="str">
        <v xml:space="preserve">其他商品零售类值累计增长 (%) </v>
      </c>
      <c r="B4" t="str">
        <v>-</v>
      </c>
      <c r="C4" t="str">
        <v>3.5</v>
      </c>
      <c r="D4" t="str">
        <v>2.3</v>
      </c>
      <c r="E4" t="str">
        <v>-</v>
      </c>
      <c r="F4" t="str">
        <v>2.9</v>
      </c>
      <c r="G4" t="str">
        <v>3.4</v>
      </c>
      <c r="H4" t="str">
        <v>3.9</v>
      </c>
      <c r="I4" t="str">
        <v>4.2</v>
      </c>
      <c r="J4" t="str">
        <v>4.8</v>
      </c>
      <c r="K4" t="str">
        <v>5.6</v>
      </c>
      <c r="L4" t="str">
        <v>6.2</v>
      </c>
      <c r="M4" t="str">
        <v>8.2</v>
      </c>
      <c r="N4" t="str">
        <v>9.3</v>
      </c>
      <c r="O4" t="str">
        <v>10.5</v>
      </c>
      <c r="P4" t="str">
        <v>9.8</v>
      </c>
      <c r="Q4" t="str">
        <v>-</v>
      </c>
      <c r="R4" t="str">
        <v>4.3</v>
      </c>
      <c r="S4" t="str">
        <v>3.8</v>
      </c>
      <c r="T4" t="str">
        <v>4.0</v>
      </c>
      <c r="U4" t="str">
        <v>3.3</v>
      </c>
      <c r="V4" t="str">
        <v>2.8</v>
      </c>
      <c r="W4" t="str">
        <v>2.7</v>
      </c>
      <c r="X4" t="str">
        <v>2.6</v>
      </c>
      <c r="Y4" t="str">
        <v>2.3</v>
      </c>
      <c r="Z4" t="str">
        <v>1.8</v>
      </c>
      <c r="AA4" t="str">
        <v>1.2</v>
      </c>
      <c r="AB4" t="str">
        <v>1.7</v>
      </c>
      <c r="AC4" t="str">
        <v>-</v>
      </c>
      <c r="AD4" t="str">
        <v>-2.3</v>
      </c>
      <c r="AE4" t="str">
        <v>-1.9</v>
      </c>
      <c r="AF4" t="str">
        <v>-2.0</v>
      </c>
      <c r="AG4" t="str">
        <v>-2.2</v>
      </c>
      <c r="AH4" t="str">
        <v>-2.4</v>
      </c>
      <c r="AI4" t="str">
        <v>-2.4</v>
      </c>
      <c r="AJ4" t="str">
        <v>-2.1</v>
      </c>
      <c r="AK4" t="str">
        <v>-1.6</v>
      </c>
    </row>
    <row r="5">
      <c r="A5" t="str">
        <v xml:space="preserve">其他商品零售类值当期值 (亿元) </v>
      </c>
      <c r="B5" t="str">
        <v>-</v>
      </c>
      <c r="C5" t="str">
        <v>490.7</v>
      </c>
      <c r="D5" t="str">
        <v>-</v>
      </c>
      <c r="E5" t="str">
        <v>-</v>
      </c>
      <c r="F5" t="str">
        <v>559.2</v>
      </c>
      <c r="G5" t="str">
        <v>498.3</v>
      </c>
      <c r="H5" t="str">
        <v>485.9</v>
      </c>
      <c r="I5" t="str">
        <v>497.6</v>
      </c>
      <c r="J5" t="str">
        <v>428.5</v>
      </c>
      <c r="K5" t="str">
        <v>427.7</v>
      </c>
      <c r="L5" t="str">
        <v>483.8</v>
      </c>
      <c r="M5" t="str">
        <v>448.5</v>
      </c>
      <c r="N5" t="str">
        <v>425.4</v>
      </c>
      <c r="O5" t="str">
        <v>491.3</v>
      </c>
      <c r="P5" t="str">
        <v>-</v>
      </c>
      <c r="Q5" t="str">
        <v>-</v>
      </c>
      <c r="R5" t="str">
        <v>543.0</v>
      </c>
      <c r="S5" t="str">
        <v>483.6</v>
      </c>
      <c r="T5" t="str">
        <v>461.9</v>
      </c>
      <c r="U5" t="str">
        <v>473.4</v>
      </c>
      <c r="V5" t="str">
        <v>405.2</v>
      </c>
      <c r="W5" t="str">
        <v>395.8</v>
      </c>
      <c r="X5" t="str">
        <v>470.6</v>
      </c>
      <c r="Y5" t="str">
        <v>407.5</v>
      </c>
      <c r="Z5" t="str">
        <v>381.2</v>
      </c>
      <c r="AA5" t="str">
        <v>420.6</v>
      </c>
      <c r="AB5" t="str">
        <v>-</v>
      </c>
      <c r="AC5" t="str">
        <v>-</v>
      </c>
      <c r="AD5" t="str">
        <v>458.6</v>
      </c>
      <c r="AE5" t="str">
        <v>425.0</v>
      </c>
      <c r="AF5" t="str">
        <v>382.6</v>
      </c>
      <c r="AG5" t="str">
        <v>404.7</v>
      </c>
      <c r="AH5" t="str">
        <v>353.6</v>
      </c>
      <c r="AI5" t="str">
        <v>346.6</v>
      </c>
      <c r="AJ5" t="str">
        <v>418.9</v>
      </c>
      <c r="AK5" t="str">
        <v>359.5</v>
      </c>
    </row>
  </sheetData>
  <ignoredErrors>
    <ignoredError numberStoredAsText="1" sqref="A1:AK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K17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饮料类商品零售类值同比增长 (%) </v>
      </c>
      <c r="B2" t="str">
        <v>-</v>
      </c>
      <c r="C2" t="str">
        <v>8.2</v>
      </c>
      <c r="D2" t="str">
        <v>-</v>
      </c>
      <c r="E2" t="str">
        <v>-</v>
      </c>
      <c r="F2" t="str">
        <v>1.7</v>
      </c>
      <c r="G2" t="str">
        <v>2.9</v>
      </c>
      <c r="H2" t="str">
        <v>7.1</v>
      </c>
      <c r="I2" t="str">
        <v>-0.8</v>
      </c>
      <c r="J2" t="str">
        <v>2.8</v>
      </c>
      <c r="K2" t="str">
        <v>2.7</v>
      </c>
      <c r="L2" t="str">
        <v>-4.4</v>
      </c>
      <c r="M2" t="str">
        <v>0.1</v>
      </c>
      <c r="N2" t="str">
        <v>2.9</v>
      </c>
      <c r="O2" t="str">
        <v>4.4</v>
      </c>
      <c r="P2" t="str">
        <v>-</v>
      </c>
      <c r="Q2" t="str">
        <v>-</v>
      </c>
      <c r="R2" t="str">
        <v>-8.5</v>
      </c>
      <c r="S2" t="str">
        <v>-4.3</v>
      </c>
      <c r="T2" t="str">
        <v>-0.9</v>
      </c>
      <c r="U2" t="str">
        <v>-0.7</v>
      </c>
      <c r="V2" t="str">
        <v>2.7</v>
      </c>
      <c r="W2" t="str">
        <v>6.1</v>
      </c>
      <c r="X2" t="str">
        <v>1.7</v>
      </c>
      <c r="Y2" t="str">
        <v>6.5</v>
      </c>
      <c r="Z2" t="str">
        <v>6.4</v>
      </c>
      <c r="AA2" t="str">
        <v>5.8</v>
      </c>
      <c r="AB2" t="str">
        <v>-</v>
      </c>
      <c r="AC2" t="str">
        <v>-</v>
      </c>
      <c r="AD2" t="str">
        <v>7.7</v>
      </c>
      <c r="AE2" t="str">
        <v>6.3</v>
      </c>
      <c r="AF2" t="str">
        <v>6.2</v>
      </c>
      <c r="AG2" t="str">
        <v>8.0</v>
      </c>
      <c r="AH2" t="str">
        <v>0.8</v>
      </c>
      <c r="AI2" t="str">
        <v>3.1</v>
      </c>
      <c r="AJ2" t="str">
        <v>3.6</v>
      </c>
      <c r="AK2" t="str">
        <v>-0.7</v>
      </c>
    </row>
    <row r="3">
      <c r="A3" t="str">
        <v xml:space="preserve">饮料类商品零售类值累计值 (亿元) </v>
      </c>
      <c r="B3" t="str">
        <v>-</v>
      </c>
      <c r="C3" t="str">
        <v>818.3</v>
      </c>
      <c r="D3" t="str">
        <v>552.7</v>
      </c>
      <c r="E3" t="str">
        <v>-</v>
      </c>
      <c r="F3" t="str">
        <v>3294.8</v>
      </c>
      <c r="G3" t="str">
        <v>3044.8</v>
      </c>
      <c r="H3" t="str">
        <v>2774.0</v>
      </c>
      <c r="I3" t="str">
        <v>2501.3</v>
      </c>
      <c r="J3" t="str">
        <v>2189.9</v>
      </c>
      <c r="K3" t="str">
        <v>1905.5</v>
      </c>
      <c r="L3" t="str">
        <v>1619.7</v>
      </c>
      <c r="M3" t="str">
        <v>1304.4</v>
      </c>
      <c r="N3" t="str">
        <v>1038.3</v>
      </c>
      <c r="O3" t="str">
        <v>793.2</v>
      </c>
      <c r="P3" t="str">
        <v>539.0</v>
      </c>
      <c r="Q3" t="str">
        <v>-</v>
      </c>
      <c r="R3" t="str">
        <v>3200.3</v>
      </c>
      <c r="S3" t="str">
        <v>2938.8</v>
      </c>
      <c r="T3" t="str">
        <v>2674.7</v>
      </c>
      <c r="U3" t="str">
        <v>2413.4</v>
      </c>
      <c r="V3" t="str">
        <v>2104.7</v>
      </c>
      <c r="W3" t="str">
        <v>1834.2</v>
      </c>
      <c r="X3" t="str">
        <v>1564.0</v>
      </c>
      <c r="Y3" t="str">
        <v>1260.1</v>
      </c>
      <c r="Z3" t="str">
        <v>1004.2</v>
      </c>
      <c r="AA3" t="str">
        <v>777.7</v>
      </c>
      <c r="AB3" t="str">
        <v>541.4</v>
      </c>
      <c r="AC3" t="str">
        <v>-</v>
      </c>
      <c r="AD3" t="str">
        <v>2991.3</v>
      </c>
      <c r="AE3" t="str">
        <v>2734.1</v>
      </c>
      <c r="AF3" t="str">
        <v>2476.1</v>
      </c>
      <c r="AG3" t="str">
        <v>2227.1</v>
      </c>
      <c r="AH3" t="str">
        <v>1929.3</v>
      </c>
      <c r="AI3" t="str">
        <v>1674.5</v>
      </c>
      <c r="AJ3" t="str">
        <v>1433.1</v>
      </c>
      <c r="AK3" t="str">
        <v>1145.8</v>
      </c>
    </row>
    <row r="4">
      <c r="A4" t="str">
        <v xml:space="preserve">饮料类商品零售类值累计增长 (%) </v>
      </c>
      <c r="B4" t="str">
        <v>-</v>
      </c>
      <c r="C4" t="str">
        <v>6.7</v>
      </c>
      <c r="D4" t="str">
        <v>6.0</v>
      </c>
      <c r="E4" t="str">
        <v>-</v>
      </c>
      <c r="F4" t="str">
        <v>1.0</v>
      </c>
      <c r="G4" t="str">
        <v>1.0</v>
      </c>
      <c r="H4" t="str">
        <v>0.8</v>
      </c>
      <c r="I4" t="str">
        <v>0.1</v>
      </c>
      <c r="J4" t="str">
        <v>0.2</v>
      </c>
      <c r="K4" t="str">
        <v>-0.2</v>
      </c>
      <c r="L4" t="str">
        <v>-0.6</v>
      </c>
      <c r="M4" t="str">
        <v>0.2</v>
      </c>
      <c r="N4" t="str">
        <v>0.3</v>
      </c>
      <c r="O4" t="str">
        <v>-0.5</v>
      </c>
      <c r="P4" t="str">
        <v>-2.6</v>
      </c>
      <c r="Q4" t="str">
        <v>-</v>
      </c>
      <c r="R4" t="str">
        <v>2.1</v>
      </c>
      <c r="S4" t="str">
        <v>3.2</v>
      </c>
      <c r="T4" t="str">
        <v>3.9</v>
      </c>
      <c r="U4" t="str">
        <v>4.5</v>
      </c>
      <c r="V4" t="str">
        <v>5.3</v>
      </c>
      <c r="W4" t="str">
        <v>5.6</v>
      </c>
      <c r="X4" t="str">
        <v>5.6</v>
      </c>
      <c r="Y4" t="str">
        <v>6.5</v>
      </c>
      <c r="Z4" t="str">
        <v>6.5</v>
      </c>
      <c r="AA4" t="str">
        <v>6.5</v>
      </c>
      <c r="AB4" t="str">
        <v>6.9</v>
      </c>
      <c r="AC4" t="str">
        <v>-</v>
      </c>
      <c r="AD4" t="str">
        <v>3.2</v>
      </c>
      <c r="AE4" t="str">
        <v>2.8</v>
      </c>
      <c r="AF4" t="str">
        <v>2.4</v>
      </c>
      <c r="AG4" t="str">
        <v>2.0</v>
      </c>
      <c r="AH4" t="str">
        <v>1.2</v>
      </c>
      <c r="AI4" t="str">
        <v>1.3</v>
      </c>
      <c r="AJ4" t="str">
        <v>1.0</v>
      </c>
      <c r="AK4" t="str">
        <v>0.4</v>
      </c>
    </row>
    <row r="5">
      <c r="A5" t="str">
        <v xml:space="preserve">饮料类商品零售类值当期值 (亿元) </v>
      </c>
      <c r="B5" t="str">
        <v>-</v>
      </c>
      <c r="C5" t="str">
        <v>264.1</v>
      </c>
      <c r="D5" t="str">
        <v>-</v>
      </c>
      <c r="E5" t="str">
        <v>-</v>
      </c>
      <c r="F5" t="str">
        <v>274.7</v>
      </c>
      <c r="G5" t="str">
        <v>269.0</v>
      </c>
      <c r="H5" t="str">
        <v>282.0</v>
      </c>
      <c r="I5" t="str">
        <v>308.2</v>
      </c>
      <c r="J5" t="str">
        <v>284.7</v>
      </c>
      <c r="K5" t="str">
        <v>285.3</v>
      </c>
      <c r="L5" t="str">
        <v>296.3</v>
      </c>
      <c r="M5" t="str">
        <v>267.4</v>
      </c>
      <c r="N5" t="str">
        <v>246.3</v>
      </c>
      <c r="O5" t="str">
        <v>255.9</v>
      </c>
      <c r="P5" t="str">
        <v>-</v>
      </c>
      <c r="Q5" t="str">
        <v>-</v>
      </c>
      <c r="R5" t="str">
        <v>263.3</v>
      </c>
      <c r="S5" t="str">
        <v>254.5</v>
      </c>
      <c r="T5" t="str">
        <v>254.1</v>
      </c>
      <c r="U5" t="str">
        <v>300.6</v>
      </c>
      <c r="V5" t="str">
        <v>266.8</v>
      </c>
      <c r="W5" t="str">
        <v>268.0</v>
      </c>
      <c r="X5" t="str">
        <v>298.2</v>
      </c>
      <c r="Y5" t="str">
        <v>255.5</v>
      </c>
      <c r="Z5" t="str">
        <v>229.7</v>
      </c>
      <c r="AA5" t="str">
        <v>237.0</v>
      </c>
      <c r="AB5" t="str">
        <v>-</v>
      </c>
      <c r="AC5" t="str">
        <v>-</v>
      </c>
      <c r="AD5" t="str">
        <v>275.8</v>
      </c>
      <c r="AE5" t="str">
        <v>256.4</v>
      </c>
      <c r="AF5" t="str">
        <v>246.3</v>
      </c>
      <c r="AG5" t="str">
        <v>292.6</v>
      </c>
      <c r="AH5" t="str">
        <v>250.0</v>
      </c>
      <c r="AI5" t="str">
        <v>243.4</v>
      </c>
      <c r="AJ5" t="str">
        <v>286.8</v>
      </c>
      <c r="AK5" t="str">
        <v>232.0</v>
      </c>
    </row>
    <row r="6">
      <c r="A6" t="str">
        <v xml:space="preserve">烟酒类商品零售类值同比增长 (%) </v>
      </c>
      <c r="B6" t="str">
        <v>-</v>
      </c>
      <c r="C6" t="str">
        <v>7.7</v>
      </c>
      <c r="D6" t="str">
        <v>-</v>
      </c>
      <c r="E6" t="str">
        <v>-</v>
      </c>
      <c r="F6" t="str">
        <v>-2.9</v>
      </c>
      <c r="G6" t="str">
        <v>-3.4</v>
      </c>
      <c r="H6" t="str">
        <v>4.1</v>
      </c>
      <c r="I6" t="str">
        <v>1.6</v>
      </c>
      <c r="J6" t="str">
        <v>-2.3</v>
      </c>
      <c r="K6" t="str">
        <v>2.7</v>
      </c>
      <c r="L6" t="str">
        <v>-0.7</v>
      </c>
      <c r="M6" t="str">
        <v>11.2</v>
      </c>
      <c r="N6" t="str">
        <v>4.0</v>
      </c>
      <c r="O6" t="str">
        <v>8.5</v>
      </c>
      <c r="P6" t="str">
        <v>-</v>
      </c>
      <c r="Q6" t="str">
        <v>-</v>
      </c>
      <c r="R6" t="str">
        <v>10.4</v>
      </c>
      <c r="S6" t="str">
        <v>-3.1</v>
      </c>
      <c r="T6" t="str">
        <v>-0.1</v>
      </c>
      <c r="U6" t="str">
        <v>-0.7</v>
      </c>
      <c r="V6" t="str">
        <v>3.1</v>
      </c>
      <c r="W6" t="str">
        <v>-0.1</v>
      </c>
      <c r="X6" t="str">
        <v>5.2</v>
      </c>
      <c r="Y6" t="str">
        <v>7.7</v>
      </c>
      <c r="Z6" t="str">
        <v>8.4</v>
      </c>
      <c r="AA6" t="str">
        <v>9.4</v>
      </c>
      <c r="AB6" t="str">
        <v>-</v>
      </c>
      <c r="AC6" t="str">
        <v>-</v>
      </c>
      <c r="AD6" t="str">
        <v>8.3</v>
      </c>
      <c r="AE6" t="str">
        <v>16.2</v>
      </c>
      <c r="AF6" t="str">
        <v>15.4</v>
      </c>
      <c r="AG6" t="str">
        <v>23.1</v>
      </c>
      <c r="AH6" t="str">
        <v>4.3</v>
      </c>
      <c r="AI6" t="str">
        <v>7.2</v>
      </c>
      <c r="AJ6" t="str">
        <v>9.6</v>
      </c>
      <c r="AK6" t="str">
        <v>8.6</v>
      </c>
    </row>
    <row r="7">
      <c r="A7" t="str">
        <v xml:space="preserve">烟酒类商品零售类值累计值 (亿元) </v>
      </c>
      <c r="B7" t="str">
        <v>-</v>
      </c>
      <c r="C7" t="str">
        <v>2121.6</v>
      </c>
      <c r="D7" t="str">
        <v>1580.9</v>
      </c>
      <c r="E7" t="str">
        <v>-</v>
      </c>
      <c r="F7" t="str">
        <v>6425.0</v>
      </c>
      <c r="G7" t="str">
        <v>5789.8</v>
      </c>
      <c r="H7" t="str">
        <v>5300.8</v>
      </c>
      <c r="I7" t="str">
        <v>4807.9</v>
      </c>
      <c r="J7" t="str">
        <v>4193.7</v>
      </c>
      <c r="K7" t="str">
        <v>3740.3</v>
      </c>
      <c r="L7" t="str">
        <v>3316.1</v>
      </c>
      <c r="M7" t="str">
        <v>2786.8</v>
      </c>
      <c r="N7" t="str">
        <v>2305.1</v>
      </c>
      <c r="O7" t="str">
        <v>1879.5</v>
      </c>
      <c r="P7" t="str">
        <v>1363.8</v>
      </c>
      <c r="Q7" t="str">
        <v>-</v>
      </c>
      <c r="R7" t="str">
        <v>6159.0</v>
      </c>
      <c r="S7" t="str">
        <v>5524.0</v>
      </c>
      <c r="T7" t="str">
        <v>5002.1</v>
      </c>
      <c r="U7" t="str">
        <v>4525.6</v>
      </c>
      <c r="V7" t="str">
        <v>3919.0</v>
      </c>
      <c r="W7" t="str">
        <v>3469.3</v>
      </c>
      <c r="X7" t="str">
        <v>3055.5</v>
      </c>
      <c r="Y7" t="str">
        <v>2549.7</v>
      </c>
      <c r="Z7" t="str">
        <v>2130.1</v>
      </c>
      <c r="AA7" t="str">
        <v>1728.5</v>
      </c>
      <c r="AB7" t="str">
        <v>1265.4</v>
      </c>
      <c r="AC7" t="str">
        <v>-</v>
      </c>
      <c r="AD7" t="str">
        <v>5506.9</v>
      </c>
      <c r="AE7" t="str">
        <v>4993.2</v>
      </c>
      <c r="AF7" t="str">
        <v>4489.3</v>
      </c>
      <c r="AG7" t="str">
        <v>4026.2</v>
      </c>
      <c r="AH7" t="str">
        <v>3445.7</v>
      </c>
      <c r="AI7" t="str">
        <v>3035.1</v>
      </c>
      <c r="AJ7" t="str">
        <v>2641.3</v>
      </c>
      <c r="AK7" t="str">
        <v>2179.3</v>
      </c>
    </row>
    <row r="8">
      <c r="A8" t="str">
        <v xml:space="preserve">烟酒类商品零售类值累计增长 (%) </v>
      </c>
      <c r="B8" t="str">
        <v>-</v>
      </c>
      <c r="C8" t="str">
        <v>16.0</v>
      </c>
      <c r="D8" t="str">
        <v>19.1</v>
      </c>
      <c r="E8" t="str">
        <v>-</v>
      </c>
      <c r="F8" t="str">
        <v>2.7</v>
      </c>
      <c r="G8" t="str">
        <v>3.3</v>
      </c>
      <c r="H8" t="str">
        <v>4.0</v>
      </c>
      <c r="I8" t="str">
        <v>4.0</v>
      </c>
      <c r="J8" t="str">
        <v>4.3</v>
      </c>
      <c r="K8" t="str">
        <v>5.2</v>
      </c>
      <c r="L8" t="str">
        <v>5.5</v>
      </c>
      <c r="M8" t="str">
        <v>6.7</v>
      </c>
      <c r="N8" t="str">
        <v>5.8</v>
      </c>
      <c r="O8" t="str">
        <v>6.3</v>
      </c>
      <c r="P8" t="str">
        <v>5.5</v>
      </c>
      <c r="Q8" t="str">
        <v>-</v>
      </c>
      <c r="R8" t="str">
        <v>5.7</v>
      </c>
      <c r="S8" t="str">
        <v>5.2</v>
      </c>
      <c r="T8" t="str">
        <v>6.1</v>
      </c>
      <c r="U8" t="str">
        <v>6.8</v>
      </c>
      <c r="V8" t="str">
        <v>8.0</v>
      </c>
      <c r="W8" t="str">
        <v>8.7</v>
      </c>
      <c r="X8" t="str">
        <v>10.0</v>
      </c>
      <c r="Y8" t="str">
        <v>11.0</v>
      </c>
      <c r="Z8" t="str">
        <v>11.7</v>
      </c>
      <c r="AA8" t="str">
        <v>12.5</v>
      </c>
      <c r="AB8" t="str">
        <v>13.7</v>
      </c>
      <c r="AC8" t="str">
        <v>-</v>
      </c>
      <c r="AD8" t="str">
        <v>10.6</v>
      </c>
      <c r="AE8" t="str">
        <v>10.9</v>
      </c>
      <c r="AF8" t="str">
        <v>10.3</v>
      </c>
      <c r="AG8" t="str">
        <v>9.8</v>
      </c>
      <c r="AH8" t="str">
        <v>7.9</v>
      </c>
      <c r="AI8" t="str">
        <v>8.4</v>
      </c>
      <c r="AJ8" t="str">
        <v>8.6</v>
      </c>
      <c r="AK8" t="str">
        <v>8.3</v>
      </c>
    </row>
    <row r="9">
      <c r="A9" t="str">
        <v xml:space="preserve">烟酒类商品零售类值当期值 (亿元) </v>
      </c>
      <c r="B9" t="str">
        <v>-</v>
      </c>
      <c r="C9" t="str">
        <v>538.7</v>
      </c>
      <c r="D9" t="str">
        <v>-</v>
      </c>
      <c r="E9" t="str">
        <v>-</v>
      </c>
      <c r="F9" t="str">
        <v>622.8</v>
      </c>
      <c r="G9" t="str">
        <v>502.0</v>
      </c>
      <c r="H9" t="str">
        <v>510.7</v>
      </c>
      <c r="I9" t="str">
        <v>614.8</v>
      </c>
      <c r="J9" t="str">
        <v>449.9</v>
      </c>
      <c r="K9" t="str">
        <v>432.8</v>
      </c>
      <c r="L9" t="str">
        <v>515.9</v>
      </c>
      <c r="M9" t="str">
        <v>482.4</v>
      </c>
      <c r="N9" t="str">
        <v>435.9</v>
      </c>
      <c r="O9" t="str">
        <v>515.2</v>
      </c>
      <c r="P9" t="str">
        <v>-</v>
      </c>
      <c r="Q9" t="str">
        <v>-</v>
      </c>
      <c r="R9" t="str">
        <v>632.4</v>
      </c>
      <c r="S9" t="str">
        <v>510.8</v>
      </c>
      <c r="T9" t="str">
        <v>480.2</v>
      </c>
      <c r="U9" t="str">
        <v>587.8</v>
      </c>
      <c r="V9" t="str">
        <v>448.5</v>
      </c>
      <c r="W9" t="str">
        <v>409.9</v>
      </c>
      <c r="X9" t="str">
        <v>503.4</v>
      </c>
      <c r="Y9" t="str">
        <v>421.7</v>
      </c>
      <c r="Z9" t="str">
        <v>407.3</v>
      </c>
      <c r="AA9" t="str">
        <v>461.7</v>
      </c>
      <c r="AB9" t="str">
        <v>-</v>
      </c>
      <c r="AC9" t="str">
        <v>-</v>
      </c>
      <c r="AD9" t="str">
        <v>543.4</v>
      </c>
      <c r="AE9" t="str">
        <v>502.9</v>
      </c>
      <c r="AF9" t="str">
        <v>457.7</v>
      </c>
      <c r="AG9" t="str">
        <v>567.6</v>
      </c>
      <c r="AH9" t="str">
        <v>413.9</v>
      </c>
      <c r="AI9" t="str">
        <v>391.2</v>
      </c>
      <c r="AJ9" t="str">
        <v>460.0</v>
      </c>
      <c r="AK9" t="str">
        <v>374.7</v>
      </c>
    </row>
    <row r="10">
      <c r="A10" t="str">
        <v xml:space="preserve">粮油、食品类商品零售类值同比增长 (%) </v>
      </c>
      <c r="B10" t="str">
        <v>-</v>
      </c>
      <c r="C10" t="str">
        <v>9.5</v>
      </c>
      <c r="D10" t="str">
        <v>-</v>
      </c>
      <c r="E10" t="str">
        <v>-</v>
      </c>
      <c r="F10" t="str">
        <v>3.9</v>
      </c>
      <c r="G10" t="str">
        <v>6.1</v>
      </c>
      <c r="H10" t="str">
        <v>9.1</v>
      </c>
      <c r="I10" t="str">
        <v>6.3</v>
      </c>
      <c r="J10" t="str">
        <v>5.8</v>
      </c>
      <c r="K10" t="str">
        <v>8.6</v>
      </c>
      <c r="L10" t="str">
        <v>8.7</v>
      </c>
      <c r="M10" t="str">
        <v>14.6</v>
      </c>
      <c r="N10" t="str">
        <v>14.0</v>
      </c>
      <c r="O10" t="str">
        <v>13.8</v>
      </c>
      <c r="P10" t="str">
        <v>-</v>
      </c>
      <c r="Q10" t="str">
        <v>-</v>
      </c>
      <c r="R10" t="str">
        <v>9.9</v>
      </c>
      <c r="S10" t="str">
        <v>10.1</v>
      </c>
      <c r="T10" t="str">
        <v>10.1</v>
      </c>
      <c r="U10" t="str">
        <v>11.1</v>
      </c>
      <c r="V10" t="str">
        <v>10.1</v>
      </c>
      <c r="W10" t="str">
        <v>9.9</v>
      </c>
      <c r="X10" t="str">
        <v>10.8</v>
      </c>
      <c r="Y10" t="str">
        <v>9.3</v>
      </c>
      <c r="Z10" t="str">
        <v>8.5</v>
      </c>
      <c r="AA10" t="str">
        <v>11.0</v>
      </c>
      <c r="AB10" t="str">
        <v>-</v>
      </c>
      <c r="AC10" t="str">
        <v>-</v>
      </c>
      <c r="AD10" t="str">
        <v>5.8</v>
      </c>
      <c r="AE10" t="str">
        <v>4.4</v>
      </c>
      <c r="AF10" t="str">
        <v>4.4</v>
      </c>
      <c r="AG10" t="str">
        <v>8.3</v>
      </c>
      <c r="AH10" t="str">
        <v>4.5</v>
      </c>
      <c r="AI10" t="str">
        <v>5.5</v>
      </c>
      <c r="AJ10" t="str">
        <v>5.4</v>
      </c>
      <c r="AK10" t="str">
        <v>-0.7</v>
      </c>
    </row>
    <row r="11">
      <c r="A11" t="str">
        <v xml:space="preserve">粮油、食品类商品零售类值累计值 (亿元) </v>
      </c>
      <c r="B11" t="str">
        <v>-</v>
      </c>
      <c r="C11" t="str">
        <v>6565.0</v>
      </c>
      <c r="D11" t="str">
        <v>4507.3</v>
      </c>
      <c r="E11" t="str">
        <v>-</v>
      </c>
      <c r="F11" t="str">
        <v>23991.2</v>
      </c>
      <c r="G11" t="str">
        <v>21765.7</v>
      </c>
      <c r="H11" t="str">
        <v>19726.9</v>
      </c>
      <c r="I11" t="str">
        <v>17778.4</v>
      </c>
      <c r="J11" t="str">
        <v>15579.3</v>
      </c>
      <c r="K11" t="str">
        <v>13741.0</v>
      </c>
      <c r="L11" t="str">
        <v>11951.9</v>
      </c>
      <c r="M11" t="str">
        <v>9892.9</v>
      </c>
      <c r="N11" t="str">
        <v>7979.6</v>
      </c>
      <c r="O11" t="str">
        <v>6210.3</v>
      </c>
      <c r="P11" t="str">
        <v>4229.5</v>
      </c>
      <c r="Q11" t="str">
        <v>-</v>
      </c>
      <c r="R11" t="str">
        <v>21736.8</v>
      </c>
      <c r="S11" t="str">
        <v>19586.0</v>
      </c>
      <c r="T11" t="str">
        <v>17657.7</v>
      </c>
      <c r="U11" t="str">
        <v>15771.1</v>
      </c>
      <c r="V11" t="str">
        <v>13693.1</v>
      </c>
      <c r="W11" t="str">
        <v>11990.6</v>
      </c>
      <c r="X11" t="str">
        <v>10352.7</v>
      </c>
      <c r="Y11" t="str">
        <v>8499.1</v>
      </c>
      <c r="Z11" t="str">
        <v>6882.6</v>
      </c>
      <c r="AA11" t="str">
        <v>5390.1</v>
      </c>
      <c r="AB11" t="str">
        <v>3692.9</v>
      </c>
      <c r="AC11" t="str">
        <v>-</v>
      </c>
      <c r="AD11" t="str">
        <v>18886.8</v>
      </c>
      <c r="AE11" t="str">
        <v>17179.8</v>
      </c>
      <c r="AF11" t="str">
        <v>15496.0</v>
      </c>
      <c r="AG11" t="str">
        <v>13885.6</v>
      </c>
      <c r="AH11" t="str">
        <v>12082.4</v>
      </c>
      <c r="AI11" t="str">
        <v>10594.6</v>
      </c>
      <c r="AJ11" t="str">
        <v>9161.0</v>
      </c>
      <c r="AK11" t="str">
        <v>7530.7</v>
      </c>
    </row>
    <row r="12">
      <c r="A12" t="str">
        <v xml:space="preserve">粮油、食品类商品零售类值累计增长 (%) </v>
      </c>
      <c r="B12" t="str">
        <v>-</v>
      </c>
      <c r="C12" t="str">
        <v>10.0</v>
      </c>
      <c r="D12" t="str">
        <v>10.2</v>
      </c>
      <c r="E12" t="str">
        <v>-</v>
      </c>
      <c r="F12" t="str">
        <v>9.3</v>
      </c>
      <c r="G12" t="str">
        <v>9.9</v>
      </c>
      <c r="H12" t="str">
        <v>10.3</v>
      </c>
      <c r="I12" t="str">
        <v>10.4</v>
      </c>
      <c r="J12" t="str">
        <v>11.0</v>
      </c>
      <c r="K12" t="str">
        <v>11.8</v>
      </c>
      <c r="L12" t="str">
        <v>12.3</v>
      </c>
      <c r="M12" t="str">
        <v>13.0</v>
      </c>
      <c r="N12" t="str">
        <v>12.6</v>
      </c>
      <c r="O12" t="str">
        <v>12.2</v>
      </c>
      <c r="P12" t="str">
        <v>11.5</v>
      </c>
      <c r="Q12" t="str">
        <v>-</v>
      </c>
      <c r="R12" t="str">
        <v>9.9</v>
      </c>
      <c r="S12" t="str">
        <v>9.9</v>
      </c>
      <c r="T12" t="str">
        <v>9.9</v>
      </c>
      <c r="U12" t="str">
        <v>9.9</v>
      </c>
      <c r="V12" t="str">
        <v>9.7</v>
      </c>
      <c r="W12" t="str">
        <v>9.6</v>
      </c>
      <c r="X12" t="str">
        <v>9.6</v>
      </c>
      <c r="Y12" t="str">
        <v>9.3</v>
      </c>
      <c r="Z12" t="str">
        <v>9.3</v>
      </c>
      <c r="AA12" t="str">
        <v>9.6</v>
      </c>
      <c r="AB12" t="str">
        <v>9.0</v>
      </c>
      <c r="AC12" t="str">
        <v>-</v>
      </c>
      <c r="AD12" t="str">
        <v>5.2</v>
      </c>
      <c r="AE12" t="str">
        <v>5.1</v>
      </c>
      <c r="AF12" t="str">
        <v>5.2</v>
      </c>
      <c r="AG12" t="str">
        <v>5.3</v>
      </c>
      <c r="AH12" t="str">
        <v>4.9</v>
      </c>
      <c r="AI12" t="str">
        <v>4.9</v>
      </c>
      <c r="AJ12" t="str">
        <v>4.8</v>
      </c>
      <c r="AK12" t="str">
        <v>4.7</v>
      </c>
    </row>
    <row r="13">
      <c r="A13" t="str">
        <v xml:space="preserve">粮油、食品类商品零售类值当期值 (亿元) </v>
      </c>
      <c r="B13" t="str">
        <v>-</v>
      </c>
      <c r="C13" t="str">
        <v>2058.0</v>
      </c>
      <c r="D13" t="str">
        <v>-</v>
      </c>
      <c r="E13" t="str">
        <v>-</v>
      </c>
      <c r="F13" t="str">
        <v>2323.0</v>
      </c>
      <c r="G13" t="str">
        <v>2060.0</v>
      </c>
      <c r="H13" t="str">
        <v>2067.7</v>
      </c>
      <c r="I13" t="str">
        <v>2220.8</v>
      </c>
      <c r="J13" t="str">
        <v>1848.1</v>
      </c>
      <c r="K13" t="str">
        <v>1817.0</v>
      </c>
      <c r="L13" t="str">
        <v>2050.1</v>
      </c>
      <c r="M13" t="str">
        <v>1918.5</v>
      </c>
      <c r="N13" t="str">
        <v>1798.8</v>
      </c>
      <c r="O13" t="str">
        <v>1978.9</v>
      </c>
      <c r="P13" t="str">
        <v>-</v>
      </c>
      <c r="Q13" t="str">
        <v>-</v>
      </c>
      <c r="R13" t="str">
        <v>2185.3</v>
      </c>
      <c r="S13" t="str">
        <v>1894.4</v>
      </c>
      <c r="T13" t="str">
        <v>1843.8</v>
      </c>
      <c r="U13" t="str">
        <v>2037.1</v>
      </c>
      <c r="V13" t="str">
        <v>1695.8</v>
      </c>
      <c r="W13" t="str">
        <v>1619.5</v>
      </c>
      <c r="X13" t="str">
        <v>1832.9</v>
      </c>
      <c r="Y13" t="str">
        <v>1615.2</v>
      </c>
      <c r="Z13" t="str">
        <v>1521.4</v>
      </c>
      <c r="AA13" t="str">
        <v>1689.5</v>
      </c>
      <c r="AB13" t="str">
        <v>-</v>
      </c>
      <c r="AC13" t="str">
        <v>-</v>
      </c>
      <c r="AD13" t="str">
        <v>1905.8</v>
      </c>
      <c r="AE13" t="str">
        <v>1672.9</v>
      </c>
      <c r="AF13" t="str">
        <v>1624.1</v>
      </c>
      <c r="AG13" t="str">
        <v>1782.0</v>
      </c>
      <c r="AH13" t="str">
        <v>1492.7</v>
      </c>
      <c r="AI13" t="str">
        <v>1430.8</v>
      </c>
      <c r="AJ13" t="str">
        <v>1630.6</v>
      </c>
      <c r="AK13" t="str">
        <v>1438.3</v>
      </c>
    </row>
    <row r="14">
      <c r="A14" t="str">
        <v xml:space="preserve">粮油、食品、饮料、烟酒类商品零售类值同比增长 (%) </v>
      </c>
      <c r="B14" t="str">
        <v>-</v>
      </c>
      <c r="C14" t="str">
        <v>9.0</v>
      </c>
      <c r="D14" t="str">
        <v>-</v>
      </c>
      <c r="E14" t="str">
        <v>-</v>
      </c>
      <c r="F14" t="str">
        <v>2.4</v>
      </c>
      <c r="G14" t="str">
        <v>4.0</v>
      </c>
      <c r="H14" t="str">
        <v>8.0</v>
      </c>
      <c r="I14" t="str">
        <v>4.6</v>
      </c>
      <c r="J14" t="str">
        <v>4.0</v>
      </c>
      <c r="K14" t="str">
        <v>6.9</v>
      </c>
      <c r="L14" t="str">
        <v>5.4</v>
      </c>
      <c r="M14" t="str">
        <v>12.4</v>
      </c>
      <c r="N14" t="str">
        <v>10.9</v>
      </c>
      <c r="O14" t="str">
        <v>11.8</v>
      </c>
      <c r="P14" t="str">
        <v>-</v>
      </c>
      <c r="Q14" t="str">
        <v>-</v>
      </c>
      <c r="R14" t="str">
        <v>8.1</v>
      </c>
      <c r="S14" t="str">
        <v>5.8</v>
      </c>
      <c r="T14" t="str">
        <v>6.9</v>
      </c>
      <c r="U14" t="str">
        <v>7.2</v>
      </c>
      <c r="V14" t="str">
        <v>7.9</v>
      </c>
      <c r="W14" t="str">
        <v>7.5</v>
      </c>
      <c r="X14" t="str">
        <v>8.6</v>
      </c>
      <c r="Y14" t="str">
        <v>9.5</v>
      </c>
      <c r="Z14" t="str">
        <v>8.3</v>
      </c>
      <c r="AA14" t="str">
        <v>10.1</v>
      </c>
      <c r="AB14" t="str">
        <v>-</v>
      </c>
      <c r="AC14" t="str">
        <v>-</v>
      </c>
      <c r="AD14" t="str">
        <v>6.5</v>
      </c>
      <c r="AE14" t="str">
        <v>6.8</v>
      </c>
      <c r="AF14" t="str">
        <v>6.6</v>
      </c>
      <c r="AG14" t="str">
        <v>11.2</v>
      </c>
      <c r="AH14" t="str">
        <v>4.0</v>
      </c>
      <c r="AI14" t="str">
        <v>5.5</v>
      </c>
      <c r="AJ14" t="str">
        <v>6.0</v>
      </c>
      <c r="AK14" t="str">
        <v>0.9</v>
      </c>
    </row>
    <row r="15">
      <c r="A15" t="str">
        <v xml:space="preserve">粮油、食品、饮料、烟酒类商品零售类值累计值 (亿元) </v>
      </c>
      <c r="B15" t="str">
        <v>-</v>
      </c>
      <c r="C15" t="str">
        <v>9504.9</v>
      </c>
      <c r="D15" t="str">
        <v>6640.9</v>
      </c>
      <c r="E15" t="str">
        <v>-</v>
      </c>
      <c r="F15" t="str">
        <v>33711.0</v>
      </c>
      <c r="G15" t="str">
        <v>30600.3</v>
      </c>
      <c r="H15" t="str">
        <v>27801.7</v>
      </c>
      <c r="I15" t="str">
        <v>25087.6</v>
      </c>
      <c r="J15" t="str">
        <v>21962.9</v>
      </c>
      <c r="K15" t="str">
        <v>19386.8</v>
      </c>
      <c r="L15" t="str">
        <v>16887.7</v>
      </c>
      <c r="M15" t="str">
        <v>13984.1</v>
      </c>
      <c r="N15" t="str">
        <v>11323.0</v>
      </c>
      <c r="O15" t="str">
        <v>8883.0</v>
      </c>
      <c r="P15" t="str">
        <v>6132.3</v>
      </c>
      <c r="Q15" t="str">
        <v>-</v>
      </c>
      <c r="R15" t="str">
        <v>30926.4</v>
      </c>
      <c r="S15" t="str">
        <v>28048.8</v>
      </c>
      <c r="T15" t="str">
        <v>25334.5</v>
      </c>
      <c r="U15" t="str">
        <v>22607.5</v>
      </c>
      <c r="V15" t="str">
        <v>19681.9</v>
      </c>
      <c r="W15" t="str">
        <v>17270.8</v>
      </c>
      <c r="X15" t="str">
        <v>14972.2</v>
      </c>
      <c r="Y15" t="str">
        <v>12308.9</v>
      </c>
      <c r="Z15" t="str">
        <v>10016.9</v>
      </c>
      <c r="AA15" t="str">
        <v>7896.3</v>
      </c>
      <c r="AB15" t="str">
        <v>5499.7</v>
      </c>
      <c r="AC15" t="str">
        <v>-</v>
      </c>
      <c r="AD15" t="str">
        <v>27385.0</v>
      </c>
      <c r="AE15" t="str">
        <v>24907.1</v>
      </c>
      <c r="AF15" t="str">
        <v>22461.4</v>
      </c>
      <c r="AG15" t="str">
        <v>20138.9</v>
      </c>
      <c r="AH15" t="str">
        <v>17457.4</v>
      </c>
      <c r="AI15" t="str">
        <v>15304.2</v>
      </c>
      <c r="AJ15" t="str">
        <v>13235.4</v>
      </c>
      <c r="AK15" t="str">
        <v>10855.8</v>
      </c>
    </row>
    <row r="16">
      <c r="A16" t="str">
        <v xml:space="preserve">粮油、食品、饮料、烟酒类商品零售类值累计增长 (%) </v>
      </c>
      <c r="B16" t="str">
        <v>-</v>
      </c>
      <c r="C16" t="str">
        <v>11.0</v>
      </c>
      <c r="D16" t="str">
        <v>11.8</v>
      </c>
      <c r="E16" t="str">
        <v>-</v>
      </c>
      <c r="F16" t="str">
        <v>7.1</v>
      </c>
      <c r="G16" t="str">
        <v>7.6</v>
      </c>
      <c r="H16" t="str">
        <v>8.0</v>
      </c>
      <c r="I16" t="str">
        <v>8.0</v>
      </c>
      <c r="J16" t="str">
        <v>8.5</v>
      </c>
      <c r="K16" t="str">
        <v>9.2</v>
      </c>
      <c r="L16" t="str">
        <v>9.5</v>
      </c>
      <c r="M16" t="str">
        <v>10.4</v>
      </c>
      <c r="N16" t="str">
        <v>10.0</v>
      </c>
      <c r="O16" t="str">
        <v>9.7</v>
      </c>
      <c r="P16" t="str">
        <v>8.7</v>
      </c>
      <c r="Q16" t="str">
        <v>-</v>
      </c>
      <c r="R16" t="str">
        <v>8.2</v>
      </c>
      <c r="S16" t="str">
        <v>8.2</v>
      </c>
      <c r="T16" t="str">
        <v>8.5</v>
      </c>
      <c r="U16" t="str">
        <v>8.7</v>
      </c>
      <c r="V16" t="str">
        <v>8.9</v>
      </c>
      <c r="W16" t="str">
        <v>9.0</v>
      </c>
      <c r="X16" t="str">
        <v>9.2</v>
      </c>
      <c r="Y16" t="str">
        <v>9.4</v>
      </c>
      <c r="Z16" t="str">
        <v>9.5</v>
      </c>
      <c r="AA16" t="str">
        <v>9.9</v>
      </c>
      <c r="AB16" t="str">
        <v>9.8</v>
      </c>
      <c r="AC16" t="str">
        <v>-</v>
      </c>
      <c r="AD16" t="str">
        <v>6.0</v>
      </c>
      <c r="AE16" t="str">
        <v>6.0</v>
      </c>
      <c r="AF16" t="str">
        <v>5.9</v>
      </c>
      <c r="AG16" t="str">
        <v>5.8</v>
      </c>
      <c r="AH16" t="str">
        <v>5.1</v>
      </c>
      <c r="AI16" t="str">
        <v>5.2</v>
      </c>
      <c r="AJ16" t="str">
        <v>5.1</v>
      </c>
      <c r="AK16" t="str">
        <v>4.9</v>
      </c>
    </row>
    <row r="17">
      <c r="A17" t="str">
        <v xml:space="preserve">粮油、食品、饮料、烟酒类商品零售类值当期值 (亿元) </v>
      </c>
      <c r="B17" t="str">
        <v>-</v>
      </c>
      <c r="C17" t="str">
        <v>2860.8</v>
      </c>
      <c r="D17" t="str">
        <v>-</v>
      </c>
      <c r="E17" t="str">
        <v>-</v>
      </c>
      <c r="F17" t="str">
        <v>3220.5</v>
      </c>
      <c r="G17" t="str">
        <v>2831.0</v>
      </c>
      <c r="H17" t="str">
        <v>2860.4</v>
      </c>
      <c r="I17" t="str">
        <v>3143.8</v>
      </c>
      <c r="J17" t="str">
        <v>2582.8</v>
      </c>
      <c r="K17" t="str">
        <v>2535.1</v>
      </c>
      <c r="L17" t="str">
        <v>2862.3</v>
      </c>
      <c r="M17" t="str">
        <v>2668.3</v>
      </c>
      <c r="N17" t="str">
        <v>2481.0</v>
      </c>
      <c r="O17" t="str">
        <v>2750.0</v>
      </c>
      <c r="P17" t="str">
        <v>-</v>
      </c>
      <c r="Q17" t="str">
        <v>-</v>
      </c>
      <c r="R17" t="str">
        <v>3081.0</v>
      </c>
      <c r="S17" t="str">
        <v>2659.7</v>
      </c>
      <c r="T17" t="str">
        <v>2578.1</v>
      </c>
      <c r="U17" t="str">
        <v>2925.6</v>
      </c>
      <c r="V17" t="str">
        <v>2411.1</v>
      </c>
      <c r="W17" t="str">
        <v>2297.4</v>
      </c>
      <c r="X17" t="str">
        <v>2634.5</v>
      </c>
      <c r="Y17" t="str">
        <v>2292.5</v>
      </c>
      <c r="Z17" t="str">
        <v>2158.4</v>
      </c>
      <c r="AA17" t="str">
        <v>2388.2</v>
      </c>
      <c r="AB17" t="str">
        <v>-</v>
      </c>
      <c r="AC17" t="str">
        <v>-</v>
      </c>
      <c r="AD17" t="str">
        <v>2725.0</v>
      </c>
      <c r="AE17" t="str">
        <v>2432.2</v>
      </c>
      <c r="AF17" t="str">
        <v>2328.1</v>
      </c>
      <c r="AG17" t="str">
        <v>2642.2</v>
      </c>
      <c r="AH17" t="str">
        <v>2156.6</v>
      </c>
      <c r="AI17" t="str">
        <v>2065.4</v>
      </c>
      <c r="AJ17" t="str">
        <v>2377.4</v>
      </c>
      <c r="AK17" t="str">
        <v>2045.0</v>
      </c>
    </row>
  </sheetData>
  <ignoredErrors>
    <ignoredError numberStoredAsText="1" sqref="A1:AK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金银珠宝类商品零售类值同比增长 (%) </v>
      </c>
      <c r="B2" t="str">
        <v>-</v>
      </c>
      <c r="C2" t="str">
        <v>11.7</v>
      </c>
      <c r="D2" t="str">
        <v>-</v>
      </c>
      <c r="E2" t="str">
        <v>-</v>
      </c>
      <c r="F2" t="str">
        <v>5.9</v>
      </c>
      <c r="G2" t="str">
        <v>8.5</v>
      </c>
      <c r="H2" t="str">
        <v>37.6</v>
      </c>
      <c r="I2" t="str">
        <v>9.7</v>
      </c>
      <c r="J2" t="str">
        <v>16.8</v>
      </c>
      <c r="K2" t="str">
        <v>8.2</v>
      </c>
      <c r="L2" t="str">
        <v>6.1</v>
      </c>
      <c r="M2" t="str">
        <v>21.8</v>
      </c>
      <c r="N2" t="str">
        <v>25.3</v>
      </c>
      <c r="O2" t="str">
        <v>10.6</v>
      </c>
      <c r="P2" t="str">
        <v>-</v>
      </c>
      <c r="Q2" t="str">
        <v>-</v>
      </c>
      <c r="R2" t="str">
        <v>-1.0</v>
      </c>
      <c r="S2" t="str">
        <v>-5.9</v>
      </c>
      <c r="T2" t="str">
        <v>-2.7</v>
      </c>
      <c r="U2" t="str">
        <v>-7.8</v>
      </c>
      <c r="V2" t="str">
        <v>-12.0</v>
      </c>
      <c r="W2" t="str">
        <v>-10.4</v>
      </c>
      <c r="X2" t="str">
        <v>-3.7</v>
      </c>
      <c r="Y2" t="str">
        <v>-11.0</v>
      </c>
      <c r="Z2" t="str">
        <v>-0.1</v>
      </c>
      <c r="AA2" t="str">
        <v>3.2</v>
      </c>
      <c r="AB2" t="str">
        <v>-</v>
      </c>
      <c r="AC2" t="str">
        <v>-</v>
      </c>
      <c r="AD2" t="str">
        <v>29.4</v>
      </c>
      <c r="AE2" t="str">
        <v>10.7</v>
      </c>
      <c r="AF2" t="str">
        <v>10.4</v>
      </c>
      <c r="AG2" t="str">
        <v>7.7</v>
      </c>
      <c r="AH2" t="str">
        <v>7.2</v>
      </c>
      <c r="AI2" t="str">
        <v>-10.0</v>
      </c>
      <c r="AJ2" t="str">
        <v>7.8</v>
      </c>
      <c r="AK2" t="str">
        <v>24.4</v>
      </c>
    </row>
    <row r="3">
      <c r="A3" t="str">
        <v xml:space="preserve">金银珠宝类商品零售类值累计值 (亿元) </v>
      </c>
      <c r="B3" t="str">
        <v>-</v>
      </c>
      <c r="C3" t="str">
        <v>1193.7</v>
      </c>
      <c r="D3" t="str">
        <v>836.9</v>
      </c>
      <c r="E3" t="str">
        <v>-</v>
      </c>
      <c r="F3" t="str">
        <v>3735.6</v>
      </c>
      <c r="G3" t="str">
        <v>3414.0</v>
      </c>
      <c r="H3" t="str">
        <v>3131.2</v>
      </c>
      <c r="I3" t="str">
        <v>2768.1</v>
      </c>
      <c r="J3" t="str">
        <v>2474.6</v>
      </c>
      <c r="K3" t="str">
        <v>2167.7</v>
      </c>
      <c r="L3" t="str">
        <v>1947.6</v>
      </c>
      <c r="M3" t="str">
        <v>1663.7</v>
      </c>
      <c r="N3" t="str">
        <v>1369.1</v>
      </c>
      <c r="O3" t="str">
        <v>1079.7</v>
      </c>
      <c r="P3" t="str">
        <v>754.7</v>
      </c>
      <c r="Q3" t="str">
        <v>-</v>
      </c>
      <c r="R3" t="str">
        <v>3299.8</v>
      </c>
      <c r="S3" t="str">
        <v>2997.3</v>
      </c>
      <c r="T3" t="str">
        <v>2720.1</v>
      </c>
      <c r="U3" t="str">
        <v>2453.9</v>
      </c>
      <c r="V3" t="str">
        <v>2185.9</v>
      </c>
      <c r="W3" t="str">
        <v>1928.8</v>
      </c>
      <c r="X3" t="str">
        <v>1724.6</v>
      </c>
      <c r="Y3" t="str">
        <v>1458.1</v>
      </c>
      <c r="Z3" t="str">
        <v>1219.6</v>
      </c>
      <c r="AA3" t="str">
        <v>996.4</v>
      </c>
      <c r="AB3" t="str">
        <v>708.2</v>
      </c>
      <c r="AC3" t="str">
        <v>-</v>
      </c>
      <c r="AD3" t="str">
        <v>3310.4</v>
      </c>
      <c r="AE3" t="str">
        <v>3024.4</v>
      </c>
      <c r="AF3" t="str">
        <v>2749.3</v>
      </c>
      <c r="AG3" t="str">
        <v>2471.6</v>
      </c>
      <c r="AH3" t="str">
        <v>2187.8</v>
      </c>
      <c r="AI3" t="str">
        <v>1905.0</v>
      </c>
      <c r="AJ3" t="str">
        <v>1688.8</v>
      </c>
      <c r="AK3" t="str">
        <v>1426.3</v>
      </c>
    </row>
    <row r="4">
      <c r="A4" t="str">
        <v xml:space="preserve">金银珠宝类商品零售类值累计增长 (%) </v>
      </c>
      <c r="B4" t="str">
        <v>-</v>
      </c>
      <c r="C4" t="str">
        <v>12.6</v>
      </c>
      <c r="D4" t="str">
        <v>13.0</v>
      </c>
      <c r="E4" t="str">
        <v>-</v>
      </c>
      <c r="F4" t="str">
        <v>12.8</v>
      </c>
      <c r="G4" t="str">
        <v>13.5</v>
      </c>
      <c r="H4" t="str">
        <v>14.0</v>
      </c>
      <c r="I4" t="str">
        <v>11.5</v>
      </c>
      <c r="J4" t="str">
        <v>11.7</v>
      </c>
      <c r="K4" t="str">
        <v>11.0</v>
      </c>
      <c r="L4" t="str">
        <v>11.3</v>
      </c>
      <c r="M4" t="str">
        <v>12.3</v>
      </c>
      <c r="N4" t="str">
        <v>10.4</v>
      </c>
      <c r="O4" t="str">
        <v>6.9</v>
      </c>
      <c r="P4" t="str">
        <v>5.4</v>
      </c>
      <c r="Q4" t="str">
        <v>-</v>
      </c>
      <c r="R4" t="str">
        <v>-3.1</v>
      </c>
      <c r="S4" t="str">
        <v>-3.3</v>
      </c>
      <c r="T4" t="str">
        <v>-3.0</v>
      </c>
      <c r="U4" t="str">
        <v>-3.1</v>
      </c>
      <c r="V4" t="str">
        <v>-2.5</v>
      </c>
      <c r="W4" t="str">
        <v>-1.0</v>
      </c>
      <c r="X4" t="str">
        <v>0.2</v>
      </c>
      <c r="Y4" t="str">
        <v>0.9</v>
      </c>
      <c r="Z4" t="str">
        <v>3.6</v>
      </c>
      <c r="AA4" t="str">
        <v>4.5</v>
      </c>
      <c r="AB4" t="str">
        <v>5.0</v>
      </c>
      <c r="AC4" t="str">
        <v>-</v>
      </c>
      <c r="AD4" t="str">
        <v>13.3</v>
      </c>
      <c r="AE4" t="str">
        <v>11.9</v>
      </c>
      <c r="AF4" t="str">
        <v>12.0</v>
      </c>
      <c r="AG4" t="str">
        <v>12.2</v>
      </c>
      <c r="AH4" t="str">
        <v>12.8</v>
      </c>
      <c r="AI4" t="str">
        <v>13.6</v>
      </c>
      <c r="AJ4" t="str">
        <v>17.5</v>
      </c>
      <c r="AK4" t="str">
        <v>19.5</v>
      </c>
    </row>
    <row r="5">
      <c r="A5" t="str">
        <v xml:space="preserve">金银珠宝类商品零售类值当期值 (亿元) </v>
      </c>
      <c r="B5" t="str">
        <v>-</v>
      </c>
      <c r="C5" t="str">
        <v>356.0</v>
      </c>
      <c r="D5" t="str">
        <v>-</v>
      </c>
      <c r="E5" t="str">
        <v>-</v>
      </c>
      <c r="F5" t="str">
        <v>327.9</v>
      </c>
      <c r="G5" t="str">
        <v>291.9</v>
      </c>
      <c r="H5" t="str">
        <v>366.8</v>
      </c>
      <c r="I5" t="str">
        <v>293.3</v>
      </c>
      <c r="J5" t="str">
        <v>305.8</v>
      </c>
      <c r="K5" t="str">
        <v>221.0</v>
      </c>
      <c r="L5" t="str">
        <v>286.8</v>
      </c>
      <c r="M5" t="str">
        <v>299.5</v>
      </c>
      <c r="N5" t="str">
        <v>296.5</v>
      </c>
      <c r="O5" t="str">
        <v>324.8</v>
      </c>
      <c r="P5" t="str">
        <v>-</v>
      </c>
      <c r="Q5" t="str">
        <v>-</v>
      </c>
      <c r="R5" t="str">
        <v>309.8</v>
      </c>
      <c r="S5" t="str">
        <v>268.2</v>
      </c>
      <c r="T5" t="str">
        <v>263.5</v>
      </c>
      <c r="U5" t="str">
        <v>263.6</v>
      </c>
      <c r="V5" t="str">
        <v>257.2</v>
      </c>
      <c r="W5" t="str">
        <v>200.1</v>
      </c>
      <c r="X5" t="str">
        <v>261.9</v>
      </c>
      <c r="Y5" t="str">
        <v>239.8</v>
      </c>
      <c r="Z5" t="str">
        <v>231.3</v>
      </c>
      <c r="AA5" t="str">
        <v>290.8</v>
      </c>
      <c r="AB5" t="str">
        <v>-</v>
      </c>
      <c r="AC5" t="str">
        <v>-</v>
      </c>
      <c r="AD5" t="str">
        <v>304.0</v>
      </c>
      <c r="AE5" t="str">
        <v>278.3</v>
      </c>
      <c r="AF5" t="str">
        <v>264.2</v>
      </c>
      <c r="AG5" t="str">
        <v>279.1</v>
      </c>
      <c r="AH5" t="str">
        <v>283.3</v>
      </c>
      <c r="AI5" t="str">
        <v>218.4</v>
      </c>
      <c r="AJ5" t="str">
        <v>267.5</v>
      </c>
      <c r="AK5" t="str">
        <v>265.6</v>
      </c>
    </row>
  </sheetData>
  <ignoredErrors>
    <ignoredError numberStoredAsText="1" sqref="A1:AK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建筑及装潢材料类商品零售类值同比增长 (%) </v>
      </c>
      <c r="B2" t="str">
        <v>-</v>
      </c>
      <c r="C2" t="str">
        <v>-9.0</v>
      </c>
      <c r="D2" t="str">
        <v>-</v>
      </c>
      <c r="E2" t="str">
        <v>-</v>
      </c>
      <c r="F2" t="str">
        <v>-11.8</v>
      </c>
      <c r="G2" t="str">
        <v>-17.0</v>
      </c>
      <c r="H2" t="str">
        <v>-8.3</v>
      </c>
      <c r="I2" t="str">
        <v>-0.1</v>
      </c>
      <c r="J2" t="str">
        <v>-0.7</v>
      </c>
      <c r="K2" t="str">
        <v>-0.5</v>
      </c>
      <c r="L2" t="str">
        <v>1.0</v>
      </c>
      <c r="M2" t="str">
        <v>5.8</v>
      </c>
      <c r="N2" t="str">
        <v>9.7</v>
      </c>
      <c r="O2" t="str">
        <v>-0.1</v>
      </c>
      <c r="P2" t="str">
        <v>-</v>
      </c>
      <c r="Q2" t="str">
        <v>-</v>
      </c>
      <c r="R2" t="str">
        <v>0.8</v>
      </c>
      <c r="S2" t="str">
        <v>2.9</v>
      </c>
      <c r="T2" t="str">
        <v>-5.8</v>
      </c>
      <c r="U2" t="str">
        <v>-6.6</v>
      </c>
      <c r="V2" t="str">
        <v>-6.7</v>
      </c>
      <c r="W2" t="str">
        <v>-2.1</v>
      </c>
      <c r="X2" t="str">
        <v>-4.4</v>
      </c>
      <c r="Y2" t="str">
        <v>-4.5</v>
      </c>
      <c r="Z2" t="str">
        <v>-4.5</v>
      </c>
      <c r="AA2" t="str">
        <v>2.8</v>
      </c>
      <c r="AB2" t="str">
        <v>-</v>
      </c>
      <c r="AC2" t="str">
        <v>-</v>
      </c>
      <c r="AD2" t="str">
        <v>-7.5</v>
      </c>
      <c r="AE2" t="str">
        <v>-10.4</v>
      </c>
      <c r="AF2" t="str">
        <v>-4.8</v>
      </c>
      <c r="AG2" t="str">
        <v>-8.2</v>
      </c>
      <c r="AH2" t="str">
        <v>-11.4</v>
      </c>
      <c r="AI2" t="str">
        <v>-11.2</v>
      </c>
      <c r="AJ2" t="str">
        <v>-6.8</v>
      </c>
      <c r="AK2" t="str">
        <v>-14.6</v>
      </c>
    </row>
    <row r="3">
      <c r="A3" t="str">
        <v xml:space="preserve">建筑及装潢材料类商品零售类值累计值 (亿元) </v>
      </c>
      <c r="B3" t="str">
        <v>-</v>
      </c>
      <c r="C3" t="str">
        <v>314.5</v>
      </c>
      <c r="D3" t="str">
        <v>204.0</v>
      </c>
      <c r="E3" t="str">
        <v>-</v>
      </c>
      <c r="F3" t="str">
        <v>1670.7</v>
      </c>
      <c r="G3" t="str">
        <v>1509.8</v>
      </c>
      <c r="H3" t="str">
        <v>1365.0</v>
      </c>
      <c r="I3" t="str">
        <v>1235.0</v>
      </c>
      <c r="J3" t="str">
        <v>1088.0</v>
      </c>
      <c r="K3" t="str">
        <v>959.9</v>
      </c>
      <c r="L3" t="str">
        <v>824.4</v>
      </c>
      <c r="M3" t="str">
        <v>663.3</v>
      </c>
      <c r="N3" t="str">
        <v>530.2</v>
      </c>
      <c r="O3" t="str">
        <v>395.3</v>
      </c>
      <c r="P3" t="str">
        <v>245.6</v>
      </c>
      <c r="Q3" t="str">
        <v>-</v>
      </c>
      <c r="R3" t="str">
        <v>1692.2</v>
      </c>
      <c r="S3" t="str">
        <v>1509.9</v>
      </c>
      <c r="T3" t="str">
        <v>1336.9</v>
      </c>
      <c r="U3" t="str">
        <v>1185.8</v>
      </c>
      <c r="V3" t="str">
        <v>1040.0</v>
      </c>
      <c r="W3" t="str">
        <v>911.4</v>
      </c>
      <c r="X3" t="str">
        <v>781.8</v>
      </c>
      <c r="Y3" t="str">
        <v>631.5</v>
      </c>
      <c r="Z3" t="str">
        <v>504.2</v>
      </c>
      <c r="AA3" t="str">
        <v>386.9</v>
      </c>
      <c r="AB3" t="str">
        <v>238.7</v>
      </c>
      <c r="AC3" t="str">
        <v>-</v>
      </c>
      <c r="AD3" t="str">
        <v>1569.4</v>
      </c>
      <c r="AE3" t="str">
        <v>1417.3</v>
      </c>
      <c r="AF3" t="str">
        <v>1267.6</v>
      </c>
      <c r="AG3" t="str">
        <v>1131.9</v>
      </c>
      <c r="AH3" t="str">
        <v>982.3</v>
      </c>
      <c r="AI3" t="str">
        <v>852.9</v>
      </c>
      <c r="AJ3" t="str">
        <v>735.3</v>
      </c>
      <c r="AK3" t="str">
        <v>582.8</v>
      </c>
    </row>
    <row r="4">
      <c r="A4" t="str">
        <v xml:space="preserve">建筑及装潢材料类商品零售类值累计增长 (%) </v>
      </c>
      <c r="B4" t="str">
        <v>-</v>
      </c>
      <c r="C4" t="str">
        <v>-4.7</v>
      </c>
      <c r="D4" t="str">
        <v>-2.2</v>
      </c>
      <c r="E4" t="str">
        <v>-</v>
      </c>
      <c r="F4" t="str">
        <v>-2.7</v>
      </c>
      <c r="G4" t="str">
        <v>-1.5</v>
      </c>
      <c r="H4" t="str">
        <v>0.5</v>
      </c>
      <c r="I4" t="str">
        <v>1.6</v>
      </c>
      <c r="J4" t="str">
        <v>1.8</v>
      </c>
      <c r="K4" t="str">
        <v>2.2</v>
      </c>
      <c r="L4" t="str">
        <v>2.6</v>
      </c>
      <c r="M4" t="str">
        <v>3.0</v>
      </c>
      <c r="N4" t="str">
        <v>2.3</v>
      </c>
      <c r="O4" t="str">
        <v>0.0</v>
      </c>
      <c r="P4" t="str">
        <v>0.1</v>
      </c>
      <c r="Q4" t="str">
        <v>-</v>
      </c>
      <c r="R4" t="str">
        <v>-2.0</v>
      </c>
      <c r="S4" t="str">
        <v>-2.3</v>
      </c>
      <c r="T4" t="str">
        <v>-3.0</v>
      </c>
      <c r="U4" t="str">
        <v>-2.6</v>
      </c>
      <c r="V4" t="str">
        <v>-2.0</v>
      </c>
      <c r="W4" t="str">
        <v>-1.3</v>
      </c>
      <c r="X4" t="str">
        <v>-1.2</v>
      </c>
      <c r="Y4" t="str">
        <v>-0.4</v>
      </c>
      <c r="Z4" t="str">
        <v>0.6</v>
      </c>
      <c r="AA4" t="str">
        <v>2.4</v>
      </c>
      <c r="AB4" t="str">
        <v>2.1</v>
      </c>
      <c r="AC4" t="str">
        <v>-</v>
      </c>
      <c r="AD4" t="str">
        <v>-7.8</v>
      </c>
      <c r="AE4" t="str">
        <v>-7.8</v>
      </c>
      <c r="AF4" t="str">
        <v>-7.5</v>
      </c>
      <c r="AG4" t="str">
        <v>-7.9</v>
      </c>
      <c r="AH4" t="str">
        <v>-7.8</v>
      </c>
      <c r="AI4" t="str">
        <v>-7.3</v>
      </c>
      <c r="AJ4" t="str">
        <v>-6.7</v>
      </c>
      <c r="AK4" t="str">
        <v>-6.6</v>
      </c>
    </row>
    <row r="5">
      <c r="A5" t="str">
        <v xml:space="preserve">建筑及装潢材料类商品零售类值当期值 (亿元) </v>
      </c>
      <c r="B5" t="str">
        <v>-</v>
      </c>
      <c r="C5" t="str">
        <v>111.9</v>
      </c>
      <c r="D5" t="str">
        <v>-</v>
      </c>
      <c r="E5" t="str">
        <v>-</v>
      </c>
      <c r="F5" t="str">
        <v>171.7</v>
      </c>
      <c r="G5" t="str">
        <v>149.3</v>
      </c>
      <c r="H5" t="str">
        <v>144.3</v>
      </c>
      <c r="I5" t="str">
        <v>147.4</v>
      </c>
      <c r="J5" t="str">
        <v>133.4</v>
      </c>
      <c r="K5" t="str">
        <v>135.0</v>
      </c>
      <c r="L5" t="str">
        <v>157.8</v>
      </c>
      <c r="M5" t="str">
        <v>137.5</v>
      </c>
      <c r="N5" t="str">
        <v>138.0</v>
      </c>
      <c r="O5" t="str">
        <v>151.2</v>
      </c>
      <c r="P5" t="str">
        <v>-</v>
      </c>
      <c r="Q5" t="str">
        <v>-</v>
      </c>
      <c r="R5" t="str">
        <v>185.8</v>
      </c>
      <c r="S5" t="str">
        <v>171.2</v>
      </c>
      <c r="T5" t="str">
        <v>149.6</v>
      </c>
      <c r="U5" t="str">
        <v>142.8</v>
      </c>
      <c r="V5" t="str">
        <v>128.8</v>
      </c>
      <c r="W5" t="str">
        <v>130.2</v>
      </c>
      <c r="X5" t="str">
        <v>150.5</v>
      </c>
      <c r="Y5" t="str">
        <v>124.5</v>
      </c>
      <c r="Z5" t="str">
        <v>120.5</v>
      </c>
      <c r="AA5" t="str">
        <v>148.1</v>
      </c>
      <c r="AB5" t="str">
        <v>-</v>
      </c>
      <c r="AC5" t="str">
        <v>-</v>
      </c>
      <c r="AD5" t="str">
        <v>169.6</v>
      </c>
      <c r="AE5" t="str">
        <v>154.0</v>
      </c>
      <c r="AF5" t="str">
        <v>147.4</v>
      </c>
      <c r="AG5" t="str">
        <v>143.0</v>
      </c>
      <c r="AH5" t="str">
        <v>128.0</v>
      </c>
      <c r="AI5" t="str">
        <v>121.9</v>
      </c>
      <c r="AJ5" t="str">
        <v>152.2</v>
      </c>
      <c r="AK5" t="str">
        <v>121.3</v>
      </c>
    </row>
  </sheetData>
  <ignoredErrors>
    <ignoredError numberStoredAsText="1" sqref="A1:AK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家用电器和音像器材类商品零售类值同比增长 (%) </v>
      </c>
      <c r="B2" t="str">
        <v>-</v>
      </c>
      <c r="C2" t="str">
        <v>-5.0</v>
      </c>
      <c r="D2" t="str">
        <v>-</v>
      </c>
      <c r="E2" t="str">
        <v>-</v>
      </c>
      <c r="F2" t="str">
        <v>-18.7</v>
      </c>
      <c r="G2" t="str">
        <v>-19.4</v>
      </c>
      <c r="H2" t="str">
        <v>-14.6</v>
      </c>
      <c r="I2" t="str">
        <v>3.3</v>
      </c>
      <c r="J2" t="str">
        <v>14.3</v>
      </c>
      <c r="K2" t="str">
        <v>28.7</v>
      </c>
      <c r="L2" t="str">
        <v>32.4</v>
      </c>
      <c r="M2" t="str">
        <v>53.0</v>
      </c>
      <c r="N2" t="str">
        <v>38.8</v>
      </c>
      <c r="O2" t="str">
        <v>35.1</v>
      </c>
      <c r="P2" t="str">
        <v>-</v>
      </c>
      <c r="Q2" t="str">
        <v>-</v>
      </c>
      <c r="R2" t="str">
        <v>39.3</v>
      </c>
      <c r="S2" t="str">
        <v>22.2</v>
      </c>
      <c r="T2" t="str">
        <v>39.2</v>
      </c>
      <c r="U2" t="str">
        <v>20.5</v>
      </c>
      <c r="V2" t="str">
        <v>3.4</v>
      </c>
      <c r="W2" t="str">
        <v>-2.4</v>
      </c>
      <c r="X2" t="str">
        <v>-7.6</v>
      </c>
      <c r="Y2" t="str">
        <v>12.9</v>
      </c>
      <c r="Z2" t="str">
        <v>4.5</v>
      </c>
      <c r="AA2" t="str">
        <v>5.8</v>
      </c>
      <c r="AB2" t="str">
        <v>-</v>
      </c>
      <c r="AC2" t="str">
        <v>-</v>
      </c>
      <c r="AD2" t="str">
        <v>-0.1</v>
      </c>
      <c r="AE2" t="str">
        <v>2.7</v>
      </c>
      <c r="AF2" t="str">
        <v>9.6</v>
      </c>
      <c r="AG2" t="str">
        <v>-2.3</v>
      </c>
      <c r="AH2" t="str">
        <v>-2.9</v>
      </c>
      <c r="AI2" t="str">
        <v>-5.5</v>
      </c>
      <c r="AJ2" t="str">
        <v>4.5</v>
      </c>
      <c r="AK2" t="str">
        <v>0.1</v>
      </c>
    </row>
    <row r="3">
      <c r="A3" t="str">
        <v xml:space="preserve">家用电器和音像器材类商品零售类值累计值 (亿元) </v>
      </c>
      <c r="B3" t="str">
        <v>-</v>
      </c>
      <c r="C3" t="str">
        <v>2513.7</v>
      </c>
      <c r="D3" t="str">
        <v>1571.8</v>
      </c>
      <c r="E3" t="str">
        <v>-</v>
      </c>
      <c r="F3" t="str">
        <v>11694.9</v>
      </c>
      <c r="G3" t="str">
        <v>10749.2</v>
      </c>
      <c r="H3" t="str">
        <v>9752.7</v>
      </c>
      <c r="I3" t="str">
        <v>8883.3</v>
      </c>
      <c r="J3" t="str">
        <v>7957.2</v>
      </c>
      <c r="K3" t="str">
        <v>7074.1</v>
      </c>
      <c r="L3" t="str">
        <v>6085.5</v>
      </c>
      <c r="M3" t="str">
        <v>4640.5</v>
      </c>
      <c r="N3" t="str">
        <v>3468.8</v>
      </c>
      <c r="O3" t="str">
        <v>2542.5</v>
      </c>
      <c r="P3" t="str">
        <v>1536.6</v>
      </c>
      <c r="Q3" t="str">
        <v>-</v>
      </c>
      <c r="R3" t="str">
        <v>10307.5</v>
      </c>
      <c r="S3" t="str">
        <v>9188.9</v>
      </c>
      <c r="T3" t="str">
        <v>7907.7</v>
      </c>
      <c r="U3" t="str">
        <v>6839.4</v>
      </c>
      <c r="V3" t="str">
        <v>5940.1</v>
      </c>
      <c r="W3" t="str">
        <v>5220.9</v>
      </c>
      <c r="X3" t="str">
        <v>4487.4</v>
      </c>
      <c r="Y3" t="str">
        <v>3420.7</v>
      </c>
      <c r="Z3" t="str">
        <v>2678.2</v>
      </c>
      <c r="AA3" t="str">
        <v>2053.1</v>
      </c>
      <c r="AB3" t="str">
        <v>1309.5</v>
      </c>
      <c r="AC3" t="str">
        <v>-</v>
      </c>
      <c r="AD3" t="str">
        <v>8718.7</v>
      </c>
      <c r="AE3" t="str">
        <v>7970.2</v>
      </c>
      <c r="AF3" t="str">
        <v>7025.5</v>
      </c>
      <c r="AG3" t="str">
        <v>6344.5</v>
      </c>
      <c r="AH3" t="str">
        <v>5655.0</v>
      </c>
      <c r="AI3" t="str">
        <v>4993.0</v>
      </c>
      <c r="AJ3" t="str">
        <v>4270.4</v>
      </c>
      <c r="AK3" t="str">
        <v>3133.4</v>
      </c>
    </row>
    <row r="4">
      <c r="A4" t="str">
        <v xml:space="preserve">家用电器和音像器材类商品零售类值累计增长 (%) </v>
      </c>
      <c r="B4" t="str">
        <v>-</v>
      </c>
      <c r="C4" t="str">
        <v>0.0</v>
      </c>
      <c r="D4" t="str">
        <v>3.3</v>
      </c>
      <c r="E4" t="str">
        <v>-</v>
      </c>
      <c r="F4" t="str">
        <v>11.0</v>
      </c>
      <c r="G4" t="str">
        <v>14.8</v>
      </c>
      <c r="H4" t="str">
        <v>20.1</v>
      </c>
      <c r="I4" t="str">
        <v>25.3</v>
      </c>
      <c r="J4" t="str">
        <v>28.4</v>
      </c>
      <c r="K4" t="str">
        <v>30.4</v>
      </c>
      <c r="L4" t="str">
        <v>30.7</v>
      </c>
      <c r="M4" t="str">
        <v>30.2</v>
      </c>
      <c r="N4" t="str">
        <v>23.9</v>
      </c>
      <c r="O4" t="str">
        <v>19.3</v>
      </c>
      <c r="P4" t="str">
        <v>10.9</v>
      </c>
      <c r="Q4" t="str">
        <v>-</v>
      </c>
      <c r="R4" t="str">
        <v>12.3</v>
      </c>
      <c r="S4" t="str">
        <v>9.6</v>
      </c>
      <c r="T4" t="str">
        <v>7.8</v>
      </c>
      <c r="U4" t="str">
        <v>4.4</v>
      </c>
      <c r="V4" t="str">
        <v>2.5</v>
      </c>
      <c r="W4" t="str">
        <v>2.3</v>
      </c>
      <c r="X4" t="str">
        <v>3.1</v>
      </c>
      <c r="Y4" t="str">
        <v>7.0</v>
      </c>
      <c r="Z4" t="str">
        <v>5.5</v>
      </c>
      <c r="AA4" t="str">
        <v>5.8</v>
      </c>
      <c r="AB4" t="str">
        <v>5.7</v>
      </c>
      <c r="AC4" t="str">
        <v>-</v>
      </c>
      <c r="AD4" t="str">
        <v>0.5</v>
      </c>
      <c r="AE4" t="str">
        <v>0.6</v>
      </c>
      <c r="AF4" t="str">
        <v>0.3</v>
      </c>
      <c r="AG4" t="str">
        <v>-0.6</v>
      </c>
      <c r="AH4" t="str">
        <v>-0.4</v>
      </c>
      <c r="AI4" t="str">
        <v>0.0</v>
      </c>
      <c r="AJ4" t="str">
        <v>1.0</v>
      </c>
      <c r="AK4" t="str">
        <v>-0.2</v>
      </c>
    </row>
    <row r="5">
      <c r="A5" t="str">
        <v xml:space="preserve">家用电器和音像器材类商品零售类值当期值 (亿元) </v>
      </c>
      <c r="B5" t="str">
        <v>-</v>
      </c>
      <c r="C5" t="str">
        <v>938.0</v>
      </c>
      <c r="D5" t="str">
        <v>-</v>
      </c>
      <c r="E5" t="str">
        <v>-</v>
      </c>
      <c r="F5" t="str">
        <v>971.1</v>
      </c>
      <c r="G5" t="str">
        <v>1000.3</v>
      </c>
      <c r="H5" t="str">
        <v>891.1</v>
      </c>
      <c r="I5" t="str">
        <v>904.3</v>
      </c>
      <c r="J5" t="str">
        <v>861.0</v>
      </c>
      <c r="K5" t="str">
        <v>978.3</v>
      </c>
      <c r="L5" t="str">
        <v>1403.3</v>
      </c>
      <c r="M5" t="str">
        <v>1166.2</v>
      </c>
      <c r="N5" t="str">
        <v>913.8</v>
      </c>
      <c r="O5" t="str">
        <v>1000.7</v>
      </c>
      <c r="P5" t="str">
        <v>-</v>
      </c>
      <c r="Q5" t="str">
        <v>-</v>
      </c>
      <c r="R5" t="str">
        <v>1132.5</v>
      </c>
      <c r="S5" t="str">
        <v>1200.0</v>
      </c>
      <c r="T5" t="str">
        <v>992.9</v>
      </c>
      <c r="U5" t="str">
        <v>841.3</v>
      </c>
      <c r="V5" t="str">
        <v>718.1</v>
      </c>
      <c r="W5" t="str">
        <v>730.2</v>
      </c>
      <c r="X5" t="str">
        <v>1063.7</v>
      </c>
      <c r="Y5" t="str">
        <v>742.9</v>
      </c>
      <c r="Z5" t="str">
        <v>641.2</v>
      </c>
      <c r="AA5" t="str">
        <v>737.1</v>
      </c>
      <c r="AB5" t="str">
        <v>-</v>
      </c>
      <c r="AC5" t="str">
        <v>-</v>
      </c>
      <c r="AD5" t="str">
        <v>772.5</v>
      </c>
      <c r="AE5" t="str">
        <v>946.1</v>
      </c>
      <c r="AF5" t="str">
        <v>684.5</v>
      </c>
      <c r="AG5" t="str">
        <v>673.1</v>
      </c>
      <c r="AH5" t="str">
        <v>672.2</v>
      </c>
      <c r="AI5" t="str">
        <v>726.1</v>
      </c>
      <c r="AJ5" t="str">
        <v>1137.5</v>
      </c>
      <c r="AK5" t="str">
        <v>641.8</v>
      </c>
    </row>
  </sheetData>
  <ignoredErrors>
    <ignoredError numberStoredAsText="1" sqref="A1:AK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家具类商品零售类值同比增长 (%) </v>
      </c>
      <c r="B2" t="str">
        <v>-</v>
      </c>
      <c r="C2" t="str">
        <v>-8.7</v>
      </c>
      <c r="D2" t="str">
        <v>-</v>
      </c>
      <c r="E2" t="str">
        <v>-</v>
      </c>
      <c r="F2" t="str">
        <v>-2.2</v>
      </c>
      <c r="G2" t="str">
        <v>-3.8</v>
      </c>
      <c r="H2" t="str">
        <v>9.6</v>
      </c>
      <c r="I2" t="str">
        <v>16.2</v>
      </c>
      <c r="J2" t="str">
        <v>18.6</v>
      </c>
      <c r="K2" t="str">
        <v>20.6</v>
      </c>
      <c r="L2" t="str">
        <v>28.7</v>
      </c>
      <c r="M2" t="str">
        <v>25.6</v>
      </c>
      <c r="N2" t="str">
        <v>26.9</v>
      </c>
      <c r="O2" t="str">
        <v>29.5</v>
      </c>
      <c r="P2" t="str">
        <v>-</v>
      </c>
      <c r="Q2" t="str">
        <v>-</v>
      </c>
      <c r="R2" t="str">
        <v>8.8</v>
      </c>
      <c r="S2" t="str">
        <v>10.5</v>
      </c>
      <c r="T2" t="str">
        <v>7.4</v>
      </c>
      <c r="U2" t="str">
        <v>0.4</v>
      </c>
      <c r="V2" t="str">
        <v>-3.7</v>
      </c>
      <c r="W2" t="str">
        <v>-1.1</v>
      </c>
      <c r="X2" t="str">
        <v>1.1</v>
      </c>
      <c r="Y2" t="str">
        <v>4.8</v>
      </c>
      <c r="Z2" t="str">
        <v>1.2</v>
      </c>
      <c r="AA2" t="str">
        <v>0.2</v>
      </c>
      <c r="AB2" t="str">
        <v>-</v>
      </c>
      <c r="AC2" t="str">
        <v>-</v>
      </c>
      <c r="AD2" t="str">
        <v>2.3</v>
      </c>
      <c r="AE2" t="str">
        <v>2.2</v>
      </c>
      <c r="AF2" t="str">
        <v>1.7</v>
      </c>
      <c r="AG2" t="str">
        <v>0.5</v>
      </c>
      <c r="AH2" t="str">
        <v>4.8</v>
      </c>
      <c r="AI2" t="str">
        <v>0.1</v>
      </c>
      <c r="AJ2" t="str">
        <v>1.2</v>
      </c>
      <c r="AK2" t="str">
        <v>5.0</v>
      </c>
    </row>
    <row r="3">
      <c r="A3" t="str">
        <v xml:space="preserve">家具类商品零售类值累计值 (亿元) </v>
      </c>
      <c r="B3" t="str">
        <v>-</v>
      </c>
      <c r="C3" t="str">
        <v>421.9</v>
      </c>
      <c r="D3" t="str">
        <v>275.5</v>
      </c>
      <c r="E3" t="str">
        <v>-</v>
      </c>
      <c r="F3" t="str">
        <v>2091.9</v>
      </c>
      <c r="G3" t="str">
        <v>1894.9</v>
      </c>
      <c r="H3" t="str">
        <v>1695.1</v>
      </c>
      <c r="I3" t="str">
        <v>1516.8</v>
      </c>
      <c r="J3" t="str">
        <v>1335.3</v>
      </c>
      <c r="K3" t="str">
        <v>1159.1</v>
      </c>
      <c r="L3" t="str">
        <v>982.1</v>
      </c>
      <c r="M3" t="str">
        <v>757.4</v>
      </c>
      <c r="N3" t="str">
        <v>583.4</v>
      </c>
      <c r="O3" t="str">
        <v>428.9</v>
      </c>
      <c r="P3" t="str">
        <v>262.1</v>
      </c>
      <c r="Q3" t="str">
        <v>-</v>
      </c>
      <c r="R3" t="str">
        <v>1691.1</v>
      </c>
      <c r="S3" t="str">
        <v>1504.9</v>
      </c>
      <c r="T3" t="str">
        <v>1303.0</v>
      </c>
      <c r="U3" t="str">
        <v>1142.8</v>
      </c>
      <c r="V3" t="str">
        <v>979.2</v>
      </c>
      <c r="W3" t="str">
        <v>850.5</v>
      </c>
      <c r="X3" t="str">
        <v>720.6</v>
      </c>
      <c r="Y3" t="str">
        <v>570.2</v>
      </c>
      <c r="Z3" t="str">
        <v>446.7</v>
      </c>
      <c r="AA3" t="str">
        <v>342.4</v>
      </c>
      <c r="AB3" t="str">
        <v>220.1</v>
      </c>
      <c r="AC3" t="str">
        <v>-</v>
      </c>
      <c r="AD3" t="str">
        <v>1516.2</v>
      </c>
      <c r="AE3" t="str">
        <v>1377.1</v>
      </c>
      <c r="AF3" t="str">
        <v>1221.5</v>
      </c>
      <c r="AG3" t="str">
        <v>1080.8</v>
      </c>
      <c r="AH3" t="str">
        <v>941.0</v>
      </c>
      <c r="AI3" t="str">
        <v>811.0</v>
      </c>
      <c r="AJ3" t="str">
        <v>685.0</v>
      </c>
      <c r="AK3" t="str">
        <v>537.5</v>
      </c>
    </row>
    <row r="4">
      <c r="A4" t="str">
        <v xml:space="preserve">家具类商品零售类值累计增长 (%) </v>
      </c>
      <c r="B4" t="str">
        <v>-</v>
      </c>
      <c r="C4" t="str">
        <v>1.9</v>
      </c>
      <c r="D4" t="str">
        <v>8.8</v>
      </c>
      <c r="E4" t="str">
        <v>-</v>
      </c>
      <c r="F4" t="str">
        <v>14.6</v>
      </c>
      <c r="G4" t="str">
        <v>16.9</v>
      </c>
      <c r="H4" t="str">
        <v>19.9</v>
      </c>
      <c r="I4" t="str">
        <v>21.3</v>
      </c>
      <c r="J4" t="str">
        <v>22.0</v>
      </c>
      <c r="K4" t="str">
        <v>22.6</v>
      </c>
      <c r="L4" t="str">
        <v>22.9</v>
      </c>
      <c r="M4" t="str">
        <v>21.4</v>
      </c>
      <c r="N4" t="str">
        <v>20.2</v>
      </c>
      <c r="O4" t="str">
        <v>18.1</v>
      </c>
      <c r="P4" t="str">
        <v>11.7</v>
      </c>
      <c r="Q4" t="str">
        <v>-</v>
      </c>
      <c r="R4" t="str">
        <v>3.6</v>
      </c>
      <c r="S4" t="str">
        <v>2.9</v>
      </c>
      <c r="T4" t="str">
        <v>1.9</v>
      </c>
      <c r="U4" t="str">
        <v>1.1</v>
      </c>
      <c r="V4" t="str">
        <v>1.3</v>
      </c>
      <c r="W4" t="str">
        <v>2.0</v>
      </c>
      <c r="X4" t="str">
        <v>2.6</v>
      </c>
      <c r="Y4" t="str">
        <v>3.0</v>
      </c>
      <c r="Z4" t="str">
        <v>2.5</v>
      </c>
      <c r="AA4" t="str">
        <v>3.0</v>
      </c>
      <c r="AB4" t="str">
        <v>4.6</v>
      </c>
      <c r="AC4" t="str">
        <v>-</v>
      </c>
      <c r="AD4" t="str">
        <v>2.8</v>
      </c>
      <c r="AE4" t="str">
        <v>2.8</v>
      </c>
      <c r="AF4" t="str">
        <v>2.9</v>
      </c>
      <c r="AG4" t="str">
        <v>3.1</v>
      </c>
      <c r="AH4" t="str">
        <v>3.4</v>
      </c>
      <c r="AI4" t="str">
        <v>3.2</v>
      </c>
      <c r="AJ4" t="str">
        <v>3.8</v>
      </c>
      <c r="AK4" t="str">
        <v>4.5</v>
      </c>
    </row>
    <row r="5">
      <c r="A5" t="str">
        <v xml:space="preserve">家具类商品零售类值当期值 (亿元) </v>
      </c>
      <c r="B5" t="str">
        <v>-</v>
      </c>
      <c r="C5" t="str">
        <v>149.3</v>
      </c>
      <c r="D5" t="str">
        <v>-</v>
      </c>
      <c r="E5" t="str">
        <v>-</v>
      </c>
      <c r="F5" t="str">
        <v>207.3</v>
      </c>
      <c r="G5" t="str">
        <v>195.4</v>
      </c>
      <c r="H5" t="str">
        <v>179.0</v>
      </c>
      <c r="I5" t="str">
        <v>175.6</v>
      </c>
      <c r="J5" t="str">
        <v>168.5</v>
      </c>
      <c r="K5" t="str">
        <v>169.9</v>
      </c>
      <c r="L5" t="str">
        <v>207.7</v>
      </c>
      <c r="M5" t="str">
        <v>170.1</v>
      </c>
      <c r="N5" t="str">
        <v>152.8</v>
      </c>
      <c r="O5" t="str">
        <v>168.1</v>
      </c>
      <c r="P5" t="str">
        <v>-</v>
      </c>
      <c r="Q5" t="str">
        <v>-</v>
      </c>
      <c r="R5" t="str">
        <v>193.6</v>
      </c>
      <c r="S5" t="str">
        <v>189.8</v>
      </c>
      <c r="T5" t="str">
        <v>151.9</v>
      </c>
      <c r="U5" t="str">
        <v>142.0</v>
      </c>
      <c r="V5" t="str">
        <v>129.0</v>
      </c>
      <c r="W5" t="str">
        <v>129.0</v>
      </c>
      <c r="X5" t="str">
        <v>148.1</v>
      </c>
      <c r="Y5" t="str">
        <v>123.4</v>
      </c>
      <c r="Z5" t="str">
        <v>109.9</v>
      </c>
      <c r="AA5" t="str">
        <v>121.0</v>
      </c>
      <c r="AB5" t="str">
        <v>-</v>
      </c>
      <c r="AC5" t="str">
        <v>-</v>
      </c>
      <c r="AD5" t="str">
        <v>164.8</v>
      </c>
      <c r="AE5" t="str">
        <v>163.6</v>
      </c>
      <c r="AF5" t="str">
        <v>137.4</v>
      </c>
      <c r="AG5" t="str">
        <v>138.0</v>
      </c>
      <c r="AH5" t="str">
        <v>130.2</v>
      </c>
      <c r="AI5" t="str">
        <v>126.1</v>
      </c>
      <c r="AJ5" t="str">
        <v>144.9</v>
      </c>
      <c r="AK5" t="str">
        <v>115.4</v>
      </c>
    </row>
  </sheetData>
  <ignoredErrors>
    <ignoredError numberStoredAsText="1" sqref="A1:AK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化妆品类商品零售类值同比增长 (%) </v>
      </c>
      <c r="B2" t="str">
        <v>-</v>
      </c>
      <c r="C2" t="str">
        <v>8.3</v>
      </c>
      <c r="D2" t="str">
        <v>-</v>
      </c>
      <c r="E2" t="str">
        <v>-</v>
      </c>
      <c r="F2" t="str">
        <v>8.8</v>
      </c>
      <c r="G2" t="str">
        <v>6.1</v>
      </c>
      <c r="H2" t="str">
        <v>9.6</v>
      </c>
      <c r="I2" t="str">
        <v>8.6</v>
      </c>
      <c r="J2" t="str">
        <v>5.1</v>
      </c>
      <c r="K2" t="str">
        <v>4.5</v>
      </c>
      <c r="L2" t="str">
        <v>-2.3</v>
      </c>
      <c r="M2" t="str">
        <v>4.4</v>
      </c>
      <c r="N2" t="str">
        <v>7.2</v>
      </c>
      <c r="O2" t="str">
        <v>1.1</v>
      </c>
      <c r="P2" t="str">
        <v>-</v>
      </c>
      <c r="Q2" t="str">
        <v>-</v>
      </c>
      <c r="R2" t="str">
        <v>0.8</v>
      </c>
      <c r="S2" t="str">
        <v>-26.4</v>
      </c>
      <c r="T2" t="str">
        <v>40.1</v>
      </c>
      <c r="U2" t="str">
        <v>-4.5</v>
      </c>
      <c r="V2" t="str">
        <v>-6.1</v>
      </c>
      <c r="W2" t="str">
        <v>-6.1</v>
      </c>
      <c r="X2" t="str">
        <v>-14.6</v>
      </c>
      <c r="Y2" t="str">
        <v>18.7</v>
      </c>
      <c r="Z2" t="str">
        <v>-2.7</v>
      </c>
      <c r="AA2" t="str">
        <v>2.2</v>
      </c>
      <c r="AB2" t="str">
        <v>-</v>
      </c>
      <c r="AC2" t="str">
        <v>-</v>
      </c>
      <c r="AD2" t="str">
        <v>9.7</v>
      </c>
      <c r="AE2" t="str">
        <v>-3.5</v>
      </c>
      <c r="AF2" t="str">
        <v>1.1</v>
      </c>
      <c r="AG2" t="str">
        <v>1.6</v>
      </c>
      <c r="AH2" t="str">
        <v>9.7</v>
      </c>
      <c r="AI2" t="str">
        <v>-4.1</v>
      </c>
      <c r="AJ2" t="str">
        <v>4.8</v>
      </c>
      <c r="AK2" t="str">
        <v>11.7</v>
      </c>
    </row>
    <row r="3">
      <c r="A3" t="str">
        <v xml:space="preserve">化妆品类商品零售类值累计值 (亿元) </v>
      </c>
      <c r="B3" t="str">
        <v>-</v>
      </c>
      <c r="C3" t="str">
        <v>1219.9</v>
      </c>
      <c r="D3" t="str">
        <v>753.1</v>
      </c>
      <c r="E3" t="str">
        <v>-</v>
      </c>
      <c r="F3" t="str">
        <v>4652.9</v>
      </c>
      <c r="G3" t="str">
        <v>4285.0</v>
      </c>
      <c r="H3" t="str">
        <v>3812.9</v>
      </c>
      <c r="I3" t="str">
        <v>3288.2</v>
      </c>
      <c r="J3" t="str">
        <v>2915.1</v>
      </c>
      <c r="K3" t="str">
        <v>2561.8</v>
      </c>
      <c r="L3" t="str">
        <v>2290.8</v>
      </c>
      <c r="M3" t="str">
        <v>1888.8</v>
      </c>
      <c r="N3" t="str">
        <v>1454.2</v>
      </c>
      <c r="O3" t="str">
        <v>1148.6</v>
      </c>
      <c r="P3" t="str">
        <v>720.3</v>
      </c>
      <c r="Q3" t="str">
        <v>-</v>
      </c>
      <c r="R3" t="str">
        <v>4356.5</v>
      </c>
      <c r="S3" t="str">
        <v>4014.6</v>
      </c>
      <c r="T3" t="str">
        <v>3562.6</v>
      </c>
      <c r="U3" t="str">
        <v>3068.5</v>
      </c>
      <c r="V3" t="str">
        <v>2729.7</v>
      </c>
      <c r="W3" t="str">
        <v>2410.2</v>
      </c>
      <c r="X3" t="str">
        <v>2168.1</v>
      </c>
      <c r="Y3" t="str">
        <v>1762.8</v>
      </c>
      <c r="Z3" t="str">
        <v>1356.5</v>
      </c>
      <c r="AA3" t="str">
        <v>1086.2</v>
      </c>
      <c r="AB3" t="str">
        <v>677.8</v>
      </c>
      <c r="AC3" t="str">
        <v>-</v>
      </c>
      <c r="AD3" t="str">
        <v>4141.7</v>
      </c>
      <c r="AE3" t="str">
        <v>3843.1</v>
      </c>
      <c r="AF3" t="str">
        <v>3291.3</v>
      </c>
      <c r="AG3" t="str">
        <v>2966.0</v>
      </c>
      <c r="AH3" t="str">
        <v>2639.0</v>
      </c>
      <c r="AI3" t="str">
        <v>2315.3</v>
      </c>
      <c r="AJ3" t="str">
        <v>2071.4</v>
      </c>
      <c r="AK3" t="str">
        <v>1618.8</v>
      </c>
    </row>
    <row r="4">
      <c r="A4" t="str">
        <v xml:space="preserve">化妆品类商品零售类值累计增长 (%) </v>
      </c>
      <c r="B4" t="str">
        <v>-</v>
      </c>
      <c r="C4" t="str">
        <v>5.9</v>
      </c>
      <c r="D4" t="str">
        <v>4.5</v>
      </c>
      <c r="E4" t="str">
        <v>-</v>
      </c>
      <c r="F4" t="str">
        <v>5.1</v>
      </c>
      <c r="G4" t="str">
        <v>4.8</v>
      </c>
      <c r="H4" t="str">
        <v>4.6</v>
      </c>
      <c r="I4" t="str">
        <v>3.9</v>
      </c>
      <c r="J4" t="str">
        <v>3.3</v>
      </c>
      <c r="K4" t="str">
        <v>3.1</v>
      </c>
      <c r="L4" t="str">
        <v>2.9</v>
      </c>
      <c r="M4" t="str">
        <v>4.1</v>
      </c>
      <c r="N4" t="str">
        <v>4.0</v>
      </c>
      <c r="O4" t="str">
        <v>3.2</v>
      </c>
      <c r="P4" t="str">
        <v>4.4</v>
      </c>
      <c r="Q4" t="str">
        <v>-</v>
      </c>
      <c r="R4" t="str">
        <v>-1.1</v>
      </c>
      <c r="S4" t="str">
        <v>-1.3</v>
      </c>
      <c r="T4" t="str">
        <v>3.0</v>
      </c>
      <c r="U4" t="str">
        <v>-1.0</v>
      </c>
      <c r="V4" t="str">
        <v>-0.5</v>
      </c>
      <c r="W4" t="str">
        <v>0.3</v>
      </c>
      <c r="X4" t="str">
        <v>1.0</v>
      </c>
      <c r="Y4" t="str">
        <v>5.4</v>
      </c>
      <c r="Z4" t="str">
        <v>2.1</v>
      </c>
      <c r="AA4" t="str">
        <v>3.4</v>
      </c>
      <c r="AB4" t="str">
        <v>4.0</v>
      </c>
      <c r="AC4" t="str">
        <v>-</v>
      </c>
      <c r="AD4" t="str">
        <v>5.1</v>
      </c>
      <c r="AE4" t="str">
        <v>4.7</v>
      </c>
      <c r="AF4" t="str">
        <v>6.2</v>
      </c>
      <c r="AG4" t="str">
        <v>6.8</v>
      </c>
      <c r="AH4" t="str">
        <v>7.5</v>
      </c>
      <c r="AI4" t="str">
        <v>7.2</v>
      </c>
      <c r="AJ4" t="str">
        <v>8.6</v>
      </c>
      <c r="AK4" t="str">
        <v>9.7</v>
      </c>
    </row>
    <row r="5">
      <c r="A5" t="str">
        <v xml:space="preserve">化妆品类商品零售类值当期值 (亿元) </v>
      </c>
      <c r="B5" t="str">
        <v>-</v>
      </c>
      <c r="C5" t="str">
        <v>463.5</v>
      </c>
      <c r="D5" t="str">
        <v>-</v>
      </c>
      <c r="E5" t="str">
        <v>-</v>
      </c>
      <c r="F5" t="str">
        <v>380.0</v>
      </c>
      <c r="G5" t="str">
        <v>467.8</v>
      </c>
      <c r="H5" t="str">
        <v>522.8</v>
      </c>
      <c r="I5" t="str">
        <v>368.4</v>
      </c>
      <c r="J5" t="str">
        <v>348.5</v>
      </c>
      <c r="K5" t="str">
        <v>265.1</v>
      </c>
      <c r="L5" t="str">
        <v>407.2</v>
      </c>
      <c r="M5" t="str">
        <v>434.6</v>
      </c>
      <c r="N5" t="str">
        <v>308.7</v>
      </c>
      <c r="O5" t="str">
        <v>428.2</v>
      </c>
      <c r="P5" t="str">
        <v>-</v>
      </c>
      <c r="Q5" t="str">
        <v>-</v>
      </c>
      <c r="R5" t="str">
        <v>344.7</v>
      </c>
      <c r="S5" t="str">
        <v>433.7</v>
      </c>
      <c r="T5" t="str">
        <v>468.4</v>
      </c>
      <c r="U5" t="str">
        <v>329.3</v>
      </c>
      <c r="V5" t="str">
        <v>319.0</v>
      </c>
      <c r="W5" t="str">
        <v>245.4</v>
      </c>
      <c r="X5" t="str">
        <v>404.6</v>
      </c>
      <c r="Y5" t="str">
        <v>405.5</v>
      </c>
      <c r="Z5" t="str">
        <v>278.4</v>
      </c>
      <c r="AA5" t="str">
        <v>411.0</v>
      </c>
      <c r="AB5" t="str">
        <v>-</v>
      </c>
      <c r="AC5" t="str">
        <v>-</v>
      </c>
      <c r="AD5" t="str">
        <v>322.8</v>
      </c>
      <c r="AE5" t="str">
        <v>548.5</v>
      </c>
      <c r="AF5" t="str">
        <v>317.4</v>
      </c>
      <c r="AG5" t="str">
        <v>325.7</v>
      </c>
      <c r="AH5" t="str">
        <v>321.2</v>
      </c>
      <c r="AI5" t="str">
        <v>247.0</v>
      </c>
      <c r="AJ5" t="str">
        <v>450.8</v>
      </c>
      <c r="AK5" t="str">
        <v>329.8</v>
      </c>
    </row>
  </sheetData>
  <ignoredErrors>
    <ignoredError numberStoredAsText="1" sqref="A1:AK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K9"/>
  <sheetViews>
    <sheetView workbookViewId="0"/>
  </sheetViews>
  <cols>
    <col min="1" max="1" width="4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指标名称</v>
      </c>
      <c r="B1" t="str">
        <v>2026年4月</v>
      </c>
      <c r="C1" t="str">
        <v>2026年3月</v>
      </c>
      <c r="D1" t="str">
        <v>2026年2月</v>
      </c>
      <c r="E1" t="str">
        <v>2026年1月</v>
      </c>
      <c r="F1" t="str">
        <v>2025年12月</v>
      </c>
      <c r="G1" t="str">
        <v>2025年11月</v>
      </c>
      <c r="H1" t="str">
        <v>2025年10月</v>
      </c>
      <c r="I1" t="str">
        <v>2025年9月</v>
      </c>
      <c r="J1" t="str">
        <v>2025年8月</v>
      </c>
      <c r="K1" t="str">
        <v>2025年7月</v>
      </c>
      <c r="L1" t="str">
        <v>2025年6月</v>
      </c>
      <c r="M1" t="str">
        <v>2025年5月</v>
      </c>
      <c r="N1" t="str">
        <v>2025年4月</v>
      </c>
      <c r="O1" t="str">
        <v>2025年3月</v>
      </c>
      <c r="P1" t="str">
        <v>2025年2月</v>
      </c>
      <c r="Q1" t="str">
        <v>2025年1月</v>
      </c>
      <c r="R1" t="str">
        <v>2024年12月</v>
      </c>
      <c r="S1" t="str">
        <v>2024年11月</v>
      </c>
      <c r="T1" t="str">
        <v>2024年10月</v>
      </c>
      <c r="U1" t="str">
        <v>2024年9月</v>
      </c>
      <c r="V1" t="str">
        <v>2024年8月</v>
      </c>
      <c r="W1" t="str">
        <v>2024年7月</v>
      </c>
      <c r="X1" t="str">
        <v>2024年6月</v>
      </c>
      <c r="Y1" t="str">
        <v>2024年5月</v>
      </c>
      <c r="Z1" t="str">
        <v>2024年4月</v>
      </c>
      <c r="AA1" t="str">
        <v>2024年3月</v>
      </c>
      <c r="AB1" t="str">
        <v>2024年2月</v>
      </c>
      <c r="AC1" t="str">
        <v>2024年1月</v>
      </c>
      <c r="AD1" t="str">
        <v>2023年12月</v>
      </c>
      <c r="AE1" t="str">
        <v>2023年11月</v>
      </c>
      <c r="AF1" t="str">
        <v>2023年10月</v>
      </c>
      <c r="AG1" t="str">
        <v>2023年9月</v>
      </c>
      <c r="AH1" t="str">
        <v>2023年8月</v>
      </c>
      <c r="AI1" t="str">
        <v>2023年7月</v>
      </c>
      <c r="AJ1" t="str">
        <v>2023年6月</v>
      </c>
      <c r="AK1" t="str">
        <v>2023年5月</v>
      </c>
    </row>
    <row r="2">
      <c r="A2" t="str">
        <v xml:space="preserve">服装鞋帽、针、纺织品类商品零售类值同比增长 (%) </v>
      </c>
      <c r="B2" t="str">
        <v>-</v>
      </c>
      <c r="C2" t="str">
        <v>7.0</v>
      </c>
      <c r="D2" t="str">
        <v>-</v>
      </c>
      <c r="E2" t="str">
        <v>-</v>
      </c>
      <c r="F2" t="str">
        <v>0.6</v>
      </c>
      <c r="G2" t="str">
        <v>3.5</v>
      </c>
      <c r="H2" t="str">
        <v>6.3</v>
      </c>
      <c r="I2" t="str">
        <v>4.7</v>
      </c>
      <c r="J2" t="str">
        <v>3.1</v>
      </c>
      <c r="K2" t="str">
        <v>1.8</v>
      </c>
      <c r="L2" t="str">
        <v>1.9</v>
      </c>
      <c r="M2" t="str">
        <v>4.0</v>
      </c>
      <c r="N2" t="str">
        <v>2.2</v>
      </c>
      <c r="O2" t="str">
        <v>3.6</v>
      </c>
      <c r="P2" t="str">
        <v>-</v>
      </c>
      <c r="Q2" t="str">
        <v>-</v>
      </c>
      <c r="R2" t="str">
        <v>-0.3</v>
      </c>
      <c r="S2" t="str">
        <v>-4.5</v>
      </c>
      <c r="T2" t="str">
        <v>8.0</v>
      </c>
      <c r="U2" t="str">
        <v>-0.4</v>
      </c>
      <c r="V2" t="str">
        <v>-1.6</v>
      </c>
      <c r="W2" t="str">
        <v>-5.2</v>
      </c>
      <c r="X2" t="str">
        <v>-1.9</v>
      </c>
      <c r="Y2" t="str">
        <v>4.4</v>
      </c>
      <c r="Z2" t="str">
        <v>-2.0</v>
      </c>
      <c r="AA2" t="str">
        <v>3.8</v>
      </c>
      <c r="AB2" t="str">
        <v>-</v>
      </c>
      <c r="AC2" t="str">
        <v>-</v>
      </c>
      <c r="AD2" t="str">
        <v>26.0</v>
      </c>
      <c r="AE2" t="str">
        <v>22.0</v>
      </c>
      <c r="AF2" t="str">
        <v>7.5</v>
      </c>
      <c r="AG2" t="str">
        <v>9.9</v>
      </c>
      <c r="AH2" t="str">
        <v>4.5</v>
      </c>
      <c r="AI2" t="str">
        <v>2.3</v>
      </c>
      <c r="AJ2" t="str">
        <v>6.9</v>
      </c>
      <c r="AK2" t="str">
        <v>17.6</v>
      </c>
    </row>
    <row r="3">
      <c r="A3" t="str">
        <v xml:space="preserve">服装鞋帽、针、纺织品类商品零售类值累计值 (亿元) </v>
      </c>
      <c r="B3" t="str">
        <v>-</v>
      </c>
      <c r="C3" t="str">
        <v>4121.9</v>
      </c>
      <c r="D3" t="str">
        <v>2831.4</v>
      </c>
      <c r="E3" t="str">
        <v>-</v>
      </c>
      <c r="F3" t="str">
        <v>15214.6</v>
      </c>
      <c r="G3" t="str">
        <v>13596.7</v>
      </c>
      <c r="H3" t="str">
        <v>12052.8</v>
      </c>
      <c r="I3" t="str">
        <v>10612.7</v>
      </c>
      <c r="J3" t="str">
        <v>9400.4</v>
      </c>
      <c r="K3" t="str">
        <v>8370.7</v>
      </c>
      <c r="L3" t="str">
        <v>7425.9</v>
      </c>
      <c r="M3" t="str">
        <v>6138.4</v>
      </c>
      <c r="N3" t="str">
        <v>4938.8</v>
      </c>
      <c r="O3" t="str">
        <v>3869.3</v>
      </c>
      <c r="P3" t="str">
        <v>2624.1</v>
      </c>
      <c r="Q3" t="str">
        <v>-</v>
      </c>
      <c r="R3" t="str">
        <v>14690.5</v>
      </c>
      <c r="S3" t="str">
        <v>13073.1</v>
      </c>
      <c r="T3" t="str">
        <v>11570.8</v>
      </c>
      <c r="U3" t="str">
        <v>10224.7</v>
      </c>
      <c r="V3" t="str">
        <v>9046.4</v>
      </c>
      <c r="W3" t="str">
        <v>8033.2</v>
      </c>
      <c r="X3" t="str">
        <v>7098.3</v>
      </c>
      <c r="Y3" t="str">
        <v>5855.5</v>
      </c>
      <c r="Z3" t="str">
        <v>4716.9</v>
      </c>
      <c r="AA3" t="str">
        <v>3693.6</v>
      </c>
      <c r="AB3" t="str">
        <v>2521.0</v>
      </c>
      <c r="AC3" t="str">
        <v>-</v>
      </c>
      <c r="AD3" t="str">
        <v>14094.8</v>
      </c>
      <c r="AE3" t="str">
        <v>12595.3</v>
      </c>
      <c r="AF3" t="str">
        <v>11126.4</v>
      </c>
      <c r="AG3" t="str">
        <v>9935.2</v>
      </c>
      <c r="AH3" t="str">
        <v>8760.4</v>
      </c>
      <c r="AI3" t="str">
        <v>7776.0</v>
      </c>
      <c r="AJ3" t="str">
        <v>6834.3</v>
      </c>
      <c r="AK3" t="str">
        <v>5619.1</v>
      </c>
    </row>
    <row r="4">
      <c r="A4" t="str">
        <v xml:space="preserve">服装鞋帽、针、纺织品类商品零售类值累计增长 (%) </v>
      </c>
      <c r="B4" t="str">
        <v>-</v>
      </c>
      <c r="C4" t="str">
        <v>9.3</v>
      </c>
      <c r="D4" t="str">
        <v>10.4</v>
      </c>
      <c r="E4" t="str">
        <v>-</v>
      </c>
      <c r="F4" t="str">
        <v>3.2</v>
      </c>
      <c r="G4" t="str">
        <v>3.5</v>
      </c>
      <c r="H4" t="str">
        <v>3.5</v>
      </c>
      <c r="I4" t="str">
        <v>3.1</v>
      </c>
      <c r="J4" t="str">
        <v>2.9</v>
      </c>
      <c r="K4" t="str">
        <v>2.9</v>
      </c>
      <c r="L4" t="str">
        <v>3.1</v>
      </c>
      <c r="M4" t="str">
        <v>3.3</v>
      </c>
      <c r="N4" t="str">
        <v>3.1</v>
      </c>
      <c r="O4" t="str">
        <v>3.4</v>
      </c>
      <c r="P4" t="str">
        <v>3.3</v>
      </c>
      <c r="Q4" t="str">
        <v>-</v>
      </c>
      <c r="R4" t="str">
        <v>0.3</v>
      </c>
      <c r="S4" t="str">
        <v>0.4</v>
      </c>
      <c r="T4" t="str">
        <v>1.1</v>
      </c>
      <c r="U4" t="str">
        <v>0.2</v>
      </c>
      <c r="V4" t="str">
        <v>0.3</v>
      </c>
      <c r="W4" t="str">
        <v>0.5</v>
      </c>
      <c r="X4" t="str">
        <v>1.3</v>
      </c>
      <c r="Y4" t="str">
        <v>2.0</v>
      </c>
      <c r="Z4" t="str">
        <v>1.5</v>
      </c>
      <c r="AA4" t="str">
        <v>2.5</v>
      </c>
      <c r="AB4" t="str">
        <v>1.9</v>
      </c>
      <c r="AC4" t="str">
        <v>-</v>
      </c>
      <c r="AD4" t="str">
        <v>12.9</v>
      </c>
      <c r="AE4" t="str">
        <v>11.5</v>
      </c>
      <c r="AF4" t="str">
        <v>10.2</v>
      </c>
      <c r="AG4" t="str">
        <v>10.6</v>
      </c>
      <c r="AH4" t="str">
        <v>10.6</v>
      </c>
      <c r="AI4" t="str">
        <v>11.4</v>
      </c>
      <c r="AJ4" t="str">
        <v>12.8</v>
      </c>
      <c r="AK4" t="str">
        <v>14.1</v>
      </c>
    </row>
    <row r="5">
      <c r="A5" t="str">
        <v xml:space="preserve">服装鞋帽、针、纺织品类商品零售类值当期值 (亿元) </v>
      </c>
      <c r="B5" t="str">
        <v>-</v>
      </c>
      <c r="C5" t="str">
        <v>1295.5</v>
      </c>
      <c r="D5" t="str">
        <v>-</v>
      </c>
      <c r="E5" t="str">
        <v>-</v>
      </c>
      <c r="F5" t="str">
        <v>1661.0</v>
      </c>
      <c r="G5" t="str">
        <v>1541.6</v>
      </c>
      <c r="H5" t="str">
        <v>1470.8</v>
      </c>
      <c r="I5" t="str">
        <v>1230.5</v>
      </c>
      <c r="J5" t="str">
        <v>1045.1</v>
      </c>
      <c r="K5" t="str">
        <v>961.3</v>
      </c>
      <c r="L5" t="str">
        <v>1275.4</v>
      </c>
      <c r="M5" t="str">
        <v>1225.4</v>
      </c>
      <c r="N5" t="str">
        <v>1087.8</v>
      </c>
      <c r="O5" t="str">
        <v>1240.5</v>
      </c>
      <c r="P5" t="str">
        <v>-</v>
      </c>
      <c r="Q5" t="str">
        <v>-</v>
      </c>
      <c r="R5" t="str">
        <v>1629.4</v>
      </c>
      <c r="S5" t="str">
        <v>1480.5</v>
      </c>
      <c r="T5" t="str">
        <v>1346.5</v>
      </c>
      <c r="U5" t="str">
        <v>1168.8</v>
      </c>
      <c r="V5" t="str">
        <v>994.0</v>
      </c>
      <c r="W5" t="str">
        <v>935.7</v>
      </c>
      <c r="X5" t="str">
        <v>1236.8</v>
      </c>
      <c r="Y5" t="str">
        <v>1147.6</v>
      </c>
      <c r="Z5" t="str">
        <v>1048.3</v>
      </c>
      <c r="AA5" t="str">
        <v>1181.6</v>
      </c>
      <c r="AB5" t="str">
        <v>-</v>
      </c>
      <c r="AC5" t="str">
        <v>-</v>
      </c>
      <c r="AD5" t="str">
        <v>1576.2</v>
      </c>
      <c r="AE5" t="str">
        <v>1502.5</v>
      </c>
      <c r="AF5" t="str">
        <v>1207.1</v>
      </c>
      <c r="AG5" t="str">
        <v>1139.3</v>
      </c>
      <c r="AH5" t="str">
        <v>981.7</v>
      </c>
      <c r="AI5" t="str">
        <v>961.4</v>
      </c>
      <c r="AJ5" t="str">
        <v>1238.3</v>
      </c>
      <c r="AK5" t="str">
        <v>1075.8</v>
      </c>
    </row>
    <row r="6">
      <c r="A6" t="str">
        <v xml:space="preserve">服装类商品零售类值同比增长 (%) </v>
      </c>
      <c r="B6" t="str">
        <v>-</v>
      </c>
      <c r="C6" t="str">
        <v>6.6</v>
      </c>
      <c r="D6" t="str">
        <v>-</v>
      </c>
      <c r="E6" t="str">
        <v>-</v>
      </c>
      <c r="F6" t="str">
        <v>1.2</v>
      </c>
      <c r="G6" t="str">
        <v>4.5</v>
      </c>
      <c r="H6" t="str">
        <v>6.8</v>
      </c>
      <c r="I6" t="str">
        <v>3.6</v>
      </c>
      <c r="J6" t="str">
        <v>1.9</v>
      </c>
      <c r="K6" t="str">
        <v>0.2</v>
      </c>
      <c r="L6" t="str">
        <v>1.7</v>
      </c>
      <c r="M6" t="str">
        <v>3.5</v>
      </c>
      <c r="N6" t="str">
        <v>1.5</v>
      </c>
      <c r="O6" t="str">
        <v>3.0</v>
      </c>
      <c r="P6" t="str">
        <v>-</v>
      </c>
      <c r="Q6" t="str">
        <v>-</v>
      </c>
      <c r="R6" t="str">
        <v>0.4</v>
      </c>
      <c r="S6" t="str">
        <v>-4.5</v>
      </c>
      <c r="T6" t="str">
        <v>7.2</v>
      </c>
      <c r="U6" t="str">
        <v>-0.3</v>
      </c>
      <c r="V6" t="str">
        <v>-1.9</v>
      </c>
      <c r="W6" t="str">
        <v>-5.6</v>
      </c>
      <c r="X6" t="str">
        <v>-2.2</v>
      </c>
      <c r="Y6" t="str">
        <v>3.2</v>
      </c>
      <c r="Z6" t="str">
        <v>-3.0</v>
      </c>
      <c r="AA6" t="str">
        <v>3.6</v>
      </c>
      <c r="AB6" t="str">
        <v>-</v>
      </c>
      <c r="AC6" t="str">
        <v>-</v>
      </c>
      <c r="AD6" t="str">
        <v>30.5</v>
      </c>
      <c r="AE6" t="str">
        <v>25.9</v>
      </c>
      <c r="AF6" t="str">
        <v>8.7</v>
      </c>
      <c r="AG6" t="str">
        <v>12.0</v>
      </c>
      <c r="AH6" t="str">
        <v>5.7</v>
      </c>
      <c r="AI6" t="str">
        <v>2.6</v>
      </c>
      <c r="AJ6" t="str">
        <v>7.2</v>
      </c>
      <c r="AK6" t="str">
        <v>21.2</v>
      </c>
    </row>
    <row r="7">
      <c r="A7" t="str">
        <v xml:space="preserve">服装类商品零售类值累计值 (亿元) </v>
      </c>
      <c r="B7" t="str">
        <v>-</v>
      </c>
      <c r="C7" t="str">
        <v>3032.6</v>
      </c>
      <c r="D7" t="str">
        <v>2112.5</v>
      </c>
      <c r="E7" t="str">
        <v>-</v>
      </c>
      <c r="F7" t="str">
        <v>11044.5</v>
      </c>
      <c r="G7" t="str">
        <v>9809.5</v>
      </c>
      <c r="H7" t="str">
        <v>8645.4</v>
      </c>
      <c r="I7" t="str">
        <v>7590.2</v>
      </c>
      <c r="J7" t="str">
        <v>6708.3</v>
      </c>
      <c r="K7" t="str">
        <v>5992.4</v>
      </c>
      <c r="L7" t="str">
        <v>5341.3</v>
      </c>
      <c r="M7" t="str">
        <v>4435.4</v>
      </c>
      <c r="N7" t="str">
        <v>3598.5</v>
      </c>
      <c r="O7" t="str">
        <v>2835.1</v>
      </c>
      <c r="P7" t="str">
        <v>1947.1</v>
      </c>
      <c r="Q7" t="str">
        <v>-</v>
      </c>
      <c r="R7" t="str">
        <v>10716.2</v>
      </c>
      <c r="S7" t="str">
        <v>9493.0</v>
      </c>
      <c r="T7" t="str">
        <v>8377.3</v>
      </c>
      <c r="U7" t="str">
        <v>7390.9</v>
      </c>
      <c r="V7" t="str">
        <v>6544.6</v>
      </c>
      <c r="W7" t="str">
        <v>5818.8</v>
      </c>
      <c r="X7" t="str">
        <v>5156.3</v>
      </c>
      <c r="Y7" t="str">
        <v>4278.0</v>
      </c>
      <c r="Z7" t="str">
        <v>3468.7</v>
      </c>
      <c r="AA7" t="str">
        <v>2732.3</v>
      </c>
      <c r="AB7" t="str">
        <v>1887.3</v>
      </c>
      <c r="AC7" t="str">
        <v>-</v>
      </c>
      <c r="AD7" t="str">
        <v>10352.9</v>
      </c>
      <c r="AE7" t="str">
        <v>9225.0</v>
      </c>
      <c r="AF7" t="str">
        <v>8143.4</v>
      </c>
      <c r="AG7" t="str">
        <v>7257.0</v>
      </c>
      <c r="AH7" t="str">
        <v>6395.0</v>
      </c>
      <c r="AI7" t="str">
        <v>5688.1</v>
      </c>
      <c r="AJ7" t="str">
        <v>5016.7</v>
      </c>
      <c r="AK7" t="str">
        <v>4148.4</v>
      </c>
    </row>
    <row r="8">
      <c r="A8" t="str">
        <v xml:space="preserve">服装类商品零售类值累计增长 (%) </v>
      </c>
      <c r="B8" t="str">
        <v>-</v>
      </c>
      <c r="C8" t="str">
        <v>9.4</v>
      </c>
      <c r="D8" t="str">
        <v>10.7</v>
      </c>
      <c r="E8" t="str">
        <v>-</v>
      </c>
      <c r="F8" t="str">
        <v>2.8</v>
      </c>
      <c r="G8" t="str">
        <v>3.1</v>
      </c>
      <c r="H8" t="str">
        <v>2.9</v>
      </c>
      <c r="I8" t="str">
        <v>2.4</v>
      </c>
      <c r="J8" t="str">
        <v>2.2</v>
      </c>
      <c r="K8" t="str">
        <v>2.2</v>
      </c>
      <c r="L8" t="str">
        <v>2.5</v>
      </c>
      <c r="M8" t="str">
        <v>2.6</v>
      </c>
      <c r="N8" t="str">
        <v>2.5</v>
      </c>
      <c r="O8" t="str">
        <v>2.7</v>
      </c>
      <c r="P8" t="str">
        <v>2.6</v>
      </c>
      <c r="Q8" t="str">
        <v>-</v>
      </c>
      <c r="R8" t="str">
        <v>0.1</v>
      </c>
      <c r="S8" t="str">
        <v>0.0</v>
      </c>
      <c r="T8" t="str">
        <v>0.6</v>
      </c>
      <c r="U8" t="str">
        <v>-0.2</v>
      </c>
      <c r="V8" t="str">
        <v>-0.2</v>
      </c>
      <c r="W8" t="str">
        <v>0.1</v>
      </c>
      <c r="X8" t="str">
        <v>0.8</v>
      </c>
      <c r="Y8" t="str">
        <v>1.4</v>
      </c>
      <c r="Z8" t="str">
        <v>1.0</v>
      </c>
      <c r="AA8" t="str">
        <v>2.2</v>
      </c>
      <c r="AB8" t="str">
        <v>1.6</v>
      </c>
      <c r="AC8" t="str">
        <v>-</v>
      </c>
      <c r="AD8" t="str">
        <v>15.4</v>
      </c>
      <c r="AE8" t="str">
        <v>13.8</v>
      </c>
      <c r="AF8" t="str">
        <v>12.3</v>
      </c>
      <c r="AG8" t="str">
        <v>12.8</v>
      </c>
      <c r="AH8" t="str">
        <v>12.9</v>
      </c>
      <c r="AI8" t="str">
        <v>13.8</v>
      </c>
      <c r="AJ8" t="str">
        <v>15.5</v>
      </c>
      <c r="AK8" t="str">
        <v>17.4</v>
      </c>
    </row>
    <row r="9">
      <c r="A9" t="str">
        <v xml:space="preserve">服装类商品零售类值当期值 (亿元) </v>
      </c>
      <c r="B9" t="str">
        <v>-</v>
      </c>
      <c r="C9" t="str">
        <v>921.1</v>
      </c>
      <c r="D9" t="str">
        <v>-</v>
      </c>
      <c r="E9" t="str">
        <v>-</v>
      </c>
      <c r="F9" t="str">
        <v>1262.1</v>
      </c>
      <c r="G9" t="str">
        <v>1157.6</v>
      </c>
      <c r="H9" t="str">
        <v>1075.1</v>
      </c>
      <c r="I9" t="str">
        <v>881.7</v>
      </c>
      <c r="J9" t="str">
        <v>727.1</v>
      </c>
      <c r="K9" t="str">
        <v>668.5</v>
      </c>
      <c r="L9" t="str">
        <v>898.2</v>
      </c>
      <c r="M9" t="str">
        <v>857.6</v>
      </c>
      <c r="N9" t="str">
        <v>776.3</v>
      </c>
      <c r="O9" t="str">
        <v>883.5</v>
      </c>
      <c r="P9" t="str">
        <v>-</v>
      </c>
      <c r="Q9" t="str">
        <v>-</v>
      </c>
      <c r="R9" t="str">
        <v>1228.6</v>
      </c>
      <c r="S9" t="str">
        <v>1095.5</v>
      </c>
      <c r="T9" t="str">
        <v>991.9</v>
      </c>
      <c r="U9" t="str">
        <v>844.5</v>
      </c>
      <c r="V9" t="str">
        <v>707.8</v>
      </c>
      <c r="W9" t="str">
        <v>660.1</v>
      </c>
      <c r="X9" t="str">
        <v>873.3</v>
      </c>
      <c r="Y9" t="str">
        <v>815.0</v>
      </c>
      <c r="Z9" t="str">
        <v>753.3</v>
      </c>
      <c r="AA9" t="str">
        <v>851.2</v>
      </c>
      <c r="AB9" t="str">
        <v>-</v>
      </c>
      <c r="AC9" t="str">
        <v>-</v>
      </c>
      <c r="AD9" t="str">
        <v>1179.9</v>
      </c>
      <c r="AE9" t="str">
        <v>1111.8</v>
      </c>
      <c r="AF9" t="str">
        <v>897.7</v>
      </c>
      <c r="AG9" t="str">
        <v>825.1</v>
      </c>
      <c r="AH9" t="str">
        <v>704.6</v>
      </c>
      <c r="AI9" t="str">
        <v>683.2</v>
      </c>
      <c r="AJ9" t="str">
        <v>879.9</v>
      </c>
      <c r="AK9" t="str">
        <v>775.6</v>
      </c>
    </row>
  </sheetData>
  <ignoredErrors>
    <ignoredError numberStoredAsText="1" sqref="A1:A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目录</vt:lpstr>
      <vt:lpstr>汇总表</vt:lpstr>
      <vt:lpstr>中西药品类</vt:lpstr>
      <vt:lpstr>文化办公用品类</vt:lpstr>
      <vt:lpstr>网上商品和服务零售额</vt:lpstr>
      <vt:lpstr>网上零售额</vt:lpstr>
      <vt:lpstr>通讯器材类</vt:lpstr>
      <vt:lpstr>体育、娱乐用品类</vt:lpstr>
      <vt:lpstr>书报杂志类</vt:lpstr>
      <vt:lpstr>石油及制品类</vt:lpstr>
      <vt:lpstr>社会消费品零售总额</vt:lpstr>
      <vt:lpstr>日用品类</vt:lpstr>
      <vt:lpstr>汽车类</vt:lpstr>
      <vt:lpstr>其他</vt:lpstr>
      <vt:lpstr>粮油、食品、饮料、烟酒类</vt:lpstr>
      <vt:lpstr>金银珠宝类</vt:lpstr>
      <vt:lpstr>建筑及装潢材料类</vt:lpstr>
      <vt:lpstr>家用电器和音像器材类</vt:lpstr>
      <vt:lpstr>家具类</vt:lpstr>
      <vt:lpstr>化妆品类</vt:lpstr>
      <vt:lpstr>服装鞋帽、针、纺织品类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